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 Index" sheetId="1" r:id="rId5"/>
    <sheet name="📥 Price Hub" sheetId="2" r:id="rId6"/>
    <sheet name="📡 LLM Context" sheetId="3" r:id="rId7"/>
    <sheet name="📊 Portfolio Brief" sheetId="4" r:id="rId8"/>
    <sheet name="⚡ Action Summary" sheetId="5" r:id="rId9"/>
    <sheet name="🔬 Priority Research" sheetId="6" r:id="rId10"/>
    <sheet name="🗺️ Portfolio Roadmap" sheetId="7" r:id="rId11"/>
    <sheet name="⚠️ Risk Flags" sheetId="8" r:id="rId12"/>
    <sheet name="🎯 Scenario Analysis" sheetId="9" r:id="rId13"/>
    <sheet name="🏭 Sector Analysis" sheetId="10" r:id="rId14"/>
    <sheet name="💻 IT Sector Analysis" sheetId="11" r:id="rId15"/>
    <sheet name="⚡ IEX Deep Dive" sheetId="12" r:id="rId16"/>
    <sheet name="🔍 IT Deep Dive" sheetId="13" r:id="rId17"/>
    <sheet name="💊 Medi Assist" sheetId="14" r:id="rId18"/>
    <sheet name="📈 MEDIASSIST Technical" sheetId="15" r:id="rId19"/>
    <sheet name="🧨 Chambal Fert" sheetId="16" r:id="rId20"/>
    <sheet name="🏢 EID Parry" sheetId="17" r:id="rId21"/>
    <sheet name="🏦 Utkarsh SFB" sheetId="18" r:id="rId22"/>
    <sheet name="📝 Changelog" sheetId="19" r:id="rId23"/>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<sst xmlns="http://schemas.openxmlformats.org/spreadsheetml/2006/main" uniqueCount="906">
  <si>
    <t>PORTFOLIO MASTER FILE  —  HU3110</t>
  </si>
  <si>
    <t>HU3110  ·  Zerodha Demat  ·  Update prices: 📥 Price Hub col H → all sheets recalculate</t>
  </si>
  <si>
    <t>TOTAL INVESTED</t>
  </si>
  <si>
    <t>MARKET VALUE</t>
  </si>
  <si>
    <t>RETURN</t>
  </si>
  <si>
    <t>UNREALISED P&amp;L</t>
  </si>
  <si>
    <t>15.1%</t>
  </si>
  <si>
    <t>HU3110  ·  PORTFOLIO MASTER FILE  ·  Zerodha Demat  ·  6 March 2026</t>
  </si>
  <si>
    <t>₹87.9L invested  ·  ₹1.01Cr market value  ·  +15.1% return  ·  29 holdings  ·  Consolidating to 20</t>
  </si>
  <si>
    <t>TAB</t>
  </si>
  <si>
    <t>LAYER</t>
  </si>
  <si>
    <t>CONTENTS</t>
  </si>
  <si>
    <t xml:space="preserve">  PORTFOLIO</t>
  </si>
  <si>
    <t>📋 Index</t>
  </si>
  <si>
    <t>PORTFOLIO</t>
  </si>
  <si>
    <t>This sheet — overview, portfolio metrics, tab directory.</t>
  </si>
  <si>
    <t>📥 Price Hub</t>
  </si>
  <si>
    <t>⭐ START HERE for price updates. Update col H (CMP) — all sheets recalculate. Static: Qty/AvgCost/LT Qty (trade only).</t>
  </si>
  <si>
    <t>📡 LLM Context</t>
  </si>
  <si>
    <t>⭐ START HERE for any review session. Full portfolio state — 27 stocks, live P&amp;L, action codes, catalyst + next trigger. ~350 tokens. Read this before any other sheet.</t>
  </si>
  <si>
    <t>📊 Portfolio Brief</t>
  </si>
  <si>
    <t>All 29 holdings with thesis notes, action tags, P&amp;L.</t>
  </si>
  <si>
    <t>⚡ Action Summary</t>
  </si>
  <si>
    <t>Working checklist — Accumulate / Trim / Hold / Watch.</t>
  </si>
  <si>
    <t>🔬 Priority Research</t>
  </si>
  <si>
    <t>Top 5 + Zydus validation. Live web research. 6 Mar update.</t>
  </si>
  <si>
    <t>🗺️ Portfolio Roadmap</t>
  </si>
  <si>
    <t>Merged: Road to 20 + Consolidation Plan. Wave 1 exits/trims, execution sequence, target 20 portfolio, capital redeployment, Wave 2 flags.</t>
  </si>
  <si>
    <t>🔀 Consolidation Plan</t>
  </si>
  <si>
    <t>v2. BANKBARODA kept. NH sized up. IEX accumulation.</t>
  </si>
  <si>
    <t>⚠️ Risk Flags</t>
  </si>
  <si>
    <t>🎯 Scenario Analysis</t>
  </si>
  <si>
    <t xml:space="preserve">  SECTORAL</t>
  </si>
  <si>
    <t>🏭 Sector Analysis</t>
  </si>
  <si>
    <t>💻 IT Sector Analysis</t>
  </si>
  <si>
    <t xml:space="preserve">  INDIVIDUAL STOCKS</t>
  </si>
  <si>
    <t>⚡ IEX Deep Dive</t>
  </si>
  <si>
    <t>INDIVIDUAL</t>
  </si>
  <si>
    <t>ACCUMULATING. Coupling mispriced on timing. Vol +30% YoY. 2.5% yield.</t>
  </si>
  <si>
    <t>🔍 IT Deep Dive</t>
  </si>
  <si>
    <t>Persistent · eClerx · Sagility — AI disruption, bull/base/bear.</t>
  </si>
  <si>
    <t>💊 Medi Assist</t>
  </si>
  <si>
    <t>Accumulate. MIT ₹535 anchor. IRDAI cleared ✅. Technical: approaching zone.</t>
  </si>
  <si>
    <t>📈 MEDIASSIST Technical</t>
  </si>
  <si>
    <t>Chart structure, key levels, 5-tranche entry plan.</t>
  </si>
  <si>
    <t>🧨 Chambal Fert</t>
  </si>
  <si>
    <t>Hold. TAN April 2026 commissioning confirmed. Wait.</t>
  </si>
  <si>
    <t>🏢 EID Parry</t>
  </si>
  <si>
    <t>Hold patient. Coromandel 50–60% holdco discount.</t>
  </si>
  <si>
    <t>🏦 Utkarsh SFB</t>
  </si>
  <si>
    <t xml:space="preserve">Updated 6 Mar 2026  ·  Research from live web data, company filings, Q3 FY26 earnings  · </t>
  </si>
  <si>
    <t>🤖  LLM OPERATING INSTRUCTIONS  —  Read this first. Determines what to load each session.</t>
  </si>
  <si>
    <t>SINGLE SOURCE OF TRUTH</t>
  </si>
  <si>
    <t>📥 Price Hub col H = CMP. All Mkt Val, P&amp;L, Ret%, Wt% derive from this via formulas. NEVER manually edit calculated fields in other sheets. Writable fields: Price Hub col H (CMP always), col D/E/F (Qty/AvgCost/LTQty on trades only), col M/N (52W H/L optional).</t>
  </si>
  <si>
    <t>MINIMUM READ SETS</t>
  </si>
  <si>
    <t>① PRICE UPDATE: Open 📥 Price Hub → update col H only. ~50 tokens. Done. ② PORTFOLIO REVIEW: Read 📡 LLM Context (~350 tokens) + glance at Price Hub. Optionally ⚡ Action Summary. ③ STOCK DEEP DIVE: Read 📡 LLM Context + that stock's Deep Dive tab only. ④ FULL SESSION: 📡 LLM Context → ⚡ Action Summary → 🔬 Priority Research → stock tabs as needed. ⛔ SKIP UNLESS ASKED: 🗺️ Portfolio Roadmap, , 🎯 Scenario Analysis.</t>
  </si>
  <si>
    <t>WRITE PROTOCOL</t>
  </si>
  <si>
    <t>After thesis/action changes: (a) update 📡 LLM Context col ACTION + NOTES for affected stocks, (b) update 📊 Portfolio Brief Notes col, (c) append one row to 📝 Changelog with date + change summary. After price update: verify one spot-check stock in Portfolio Brief shows updated Mkt Val before closing.</t>
  </si>
  <si>
    <t>SHEET TAXONOMY</t>
  </si>
  <si>
    <t>🟡 LIVE — update every session: 📥 Price Hub · 📡 LLM Context · 📝 Changelog   🔵 REFERENCE — update on thesis change: 📊 Portfolio Brief · ⚡ Action Summary · ⚠️ Risk Flags · 🔬 Priority Research   ⚪ ARCHIVE — read-once, rarely updated: Portfolio Roadmap · Scenario Analysis · Sector Analysis · Deep Dive tabs</t>
  </si>
  <si>
    <t>📥  PRICE HUB  —  Single source of truth  |  Update CMP here → all sheets recalculate</t>
  </si>
  <si>
    <t>🟡 YELLOW = Update these  ·  🟢 GREEN = Auto-calculated  ·  ⬜ WHITE = Static (update only when you trade)  ·  Last updated: 7 Mar 2026</t>
  </si>
  <si>
    <t>SYMBOL</t>
  </si>
  <si>
    <t>SUB-SECTOR</t>
  </si>
  <si>
    <t>TOTAL QTY</t>
  </si>
  <si>
    <t>AVG COST ₹</t>
  </si>
  <si>
    <t>LT QTY</t>
  </si>
  <si>
    <t>NON-LT QTY</t>
  </si>
  <si>
    <t>⬇ CMP ₹  (UPDATE HERE)</t>
  </si>
  <si>
    <t>MKT VAL ₹</t>
  </si>
  <si>
    <t>INVESTED ₹</t>
  </si>
  <si>
    <t>P&amp;L ₹</t>
  </si>
  <si>
    <t>RET %</t>
  </si>
  <si>
    <t>52W HIGH</t>
  </si>
  <si>
    <t>52W LOW</t>
  </si>
  <si>
    <t>% FROM 52W H</t>
  </si>
  <si>
    <t>NOTES / DATE</t>
  </si>
  <si>
    <t>GOLDIETF-E</t>
  </si>
  <si>
    <t>ETF</t>
  </si>
  <si>
    <t>CMP as of 5 Mar 2026</t>
  </si>
  <si>
    <t>BAJFINANCE</t>
  </si>
  <si>
    <t>CONSUMER LENDING</t>
  </si>
  <si>
    <t>UJJIVANSFB</t>
  </si>
  <si>
    <t>MICROFINANCE</t>
  </si>
  <si>
    <t>COALINDIA</t>
  </si>
  <si>
    <t>METALS</t>
  </si>
  <si>
    <t>ICICIBANK</t>
  </si>
  <si>
    <t>BANKING</t>
  </si>
  <si>
    <t>HOMEFIRST</t>
  </si>
  <si>
    <t>HOUSING FINANCE</t>
  </si>
  <si>
    <t>CARYSIL</t>
  </si>
  <si>
    <t>FMCG</t>
  </si>
  <si>
    <t>BANKBARODA</t>
  </si>
  <si>
    <t>CREDITACC</t>
  </si>
  <si>
    <t>LT</t>
  </si>
  <si>
    <t>ENGINEERING &amp; CAPITAL GOODS</t>
  </si>
  <si>
    <t>NH</t>
  </si>
  <si>
    <t>HEALTHCARE</t>
  </si>
  <si>
    <t>HDFCBANK</t>
  </si>
  <si>
    <t>ASTRAMICRO</t>
  </si>
  <si>
    <t>DEFENCE</t>
  </si>
  <si>
    <t>CHAMBLFERT</t>
  </si>
  <si>
    <t>FERTILIZERS</t>
  </si>
  <si>
    <t>EIDPARRY</t>
  </si>
  <si>
    <t>UTKARSHBNK</t>
  </si>
  <si>
    <t>RAINBOW</t>
  </si>
  <si>
    <t>CAMS</t>
  </si>
  <si>
    <t>MARKET INFRASTRUCTURE</t>
  </si>
  <si>
    <t>ZYDUSLIFE</t>
  </si>
  <si>
    <t>KIRLOSENG</t>
  </si>
  <si>
    <t>MEDIASSIST</t>
  </si>
  <si>
    <t>SOFTWARE SERVICES</t>
  </si>
  <si>
    <t>IEX</t>
  </si>
  <si>
    <t>ENERGY</t>
  </si>
  <si>
    <t>FEDFINA</t>
  </si>
  <si>
    <t>PERSISTENT</t>
  </si>
  <si>
    <t>SILVERCASE-E</t>
  </si>
  <si>
    <t>ECLERX</t>
  </si>
  <si>
    <t>SGB-COMBINED</t>
  </si>
  <si>
    <t>SOVEREIGN GOLD BOND</t>
  </si>
  <si>
    <t>2 SGBs: 4 units Dec-2031 + 2 units Apr-2028. Tax-free capital gains at maturity. Zero action.</t>
  </si>
  <si>
    <t>TOTAL</t>
  </si>
  <si>
    <t>📡  LLM CONTEXT  —  Full portfolio state in one read  |  ~350 tokens  |  Formula-linked to Price Hub</t>
  </si>
  <si>
    <t>🟢 GREEN = ACCUMULATE  |  🟡 AMBER = TRIM  |  🔵 BLUE = HOLD  |  🟠 ORANGE = WATCH  |  🟣 PURPLE = RE-ENTRY  |  Mkt Val, P&amp;L, Ret% update automatically when Price Hub CMP changes</t>
  </si>
  <si>
    <t>SYM</t>
  </si>
  <si>
    <t>SECTOR</t>
  </si>
  <si>
    <t>ACTION</t>
  </si>
  <si>
    <t>WT%</t>
  </si>
  <si>
    <t>CMP ₹</t>
  </si>
  <si>
    <t>AVG ₹</t>
  </si>
  <si>
    <t>RET%</t>
  </si>
  <si>
    <t>QTY</t>
  </si>
  <si>
    <t>KEY CATALYST / THESIS</t>
  </si>
  <si>
    <t>NEXT TRIGGER / WATCH</t>
  </si>
  <si>
    <t>HOLD FULL</t>
  </si>
  <si>
    <t>Central bank demand, dollar re-rating, geopolitical hedge</t>
  </si>
  <si>
    <t>None — structural hold full position</t>
  </si>
  <si>
    <t>HOLD</t>
  </si>
  <si>
    <t>Consumer lending market leader, 43% gain, strong franchise</t>
  </si>
  <si>
    <t>Quarterly earnings watch</t>
  </si>
  <si>
    <t>HOLD — MONITOR</t>
  </si>
  <si>
    <t>MFI stress cycle manageable; collection efficiency improving</t>
  </si>
  <si>
    <t>NPA trajectory + collection efficiency Q4</t>
  </si>
  <si>
    <t>TRIM CANDIDATE</t>
  </si>
  <si>
    <t>PSU dividend play — upside capped by govt pricing</t>
  </si>
  <si>
    <t>Trim on any rally; redeploy to conviction names</t>
  </si>
  <si>
    <t>Best-in-class private bank, consistent compounder</t>
  </si>
  <si>
    <t>Hold through rate cycle</t>
  </si>
  <si>
    <t>Affordable housing finance, all 441 shares LT</t>
  </si>
  <si>
    <t>Housing credit cycle watch</t>
  </si>
  <si>
    <t>Global quartz sink exporter, niche moat</t>
  </si>
  <si>
    <t>Export order momentum + US tariff impact</t>
  </si>
  <si>
    <t>PSU bank; sole PSU momentum play retained</t>
  </si>
  <si>
    <t>Monitor credit costs quarterly</t>
  </si>
  <si>
    <t>Quality MFI, conservative underwriting, recovering</t>
  </si>
  <si>
    <t>MFI sector NPA trend Q4 FY26</t>
  </si>
  <si>
    <t>Infra/engineering; +7% underwhelming for hold period</t>
  </si>
  <si>
    <t>Trim on rally; no LT shares, no friction</t>
  </si>
  <si>
    <t>Narayana healthcare compounder, Cayman asset-light inflecting</t>
  </si>
  <si>
    <t>Cayman revenue contribution H2 FY26+</t>
  </si>
  <si>
    <t>Largest private bank, merger integration largely complete</t>
  </si>
  <si>
    <t>Credit growth + NIM recovery trajectory</t>
  </si>
  <si>
    <t>WATCH — REVIEW</t>
  </si>
  <si>
    <t>Defence electronics; order book record ₹2,226Cr; demerger catalyst</t>
  </si>
  <si>
    <t>Q4 order inflows: confirm ₹1,500Cr FY27 guidance</t>
  </si>
  <si>
    <t>HOLD — WAIT</t>
  </si>
  <si>
    <t>TAN plant 92.65% complete; enters undersupplied explosive market</t>
  </si>
  <si>
    <t>⚡ April 30 2026 TAN commissioning confirmation</t>
  </si>
  <si>
    <t>HOLD — PATIENT</t>
  </si>
  <si>
    <t>Holdco at 50-60% discount to Coromandel stake; FII accumulating</t>
  </si>
  <si>
    <t>FII count trend + any holdco discount narrowing</t>
  </si>
  <si>
    <t>ACCUMULATE</t>
  </si>
  <si>
    <t>JLG DPD ₹378Cr→&lt;₹50Cr in 3 months; smart money rights entry ₹14</t>
  </si>
  <si>
    <t>⚡ Q4 FY26 results ~May: first QoQ AUM growth</t>
  </si>
  <si>
    <t>Paediatric hospital niche; 190/235 shares LT</t>
  </si>
  <si>
    <t>Expansion beds ramp + occupancy trajectory</t>
  </si>
  <si>
    <t>WATCH</t>
  </si>
  <si>
    <t>MF registrar monopoly; India AUM growth structural beneficiary</t>
  </si>
  <si>
    <t>Monitor for add below ₹600; MF AUM data monthly</t>
  </si>
  <si>
    <t>Diversified pharma — no edge thesis; STCL harvest option</t>
  </si>
  <si>
    <t>Exit on strength; redeploy to NH/Mediassist</t>
  </si>
  <si>
    <t>Industrial pump compounder; all 180 shares LT; +47.5%</t>
  </si>
  <si>
    <t>Leave running — no action needed</t>
  </si>
  <si>
    <t>TPA market leader post-Paramount; MIT in at ₹535; CMP cheaper</t>
  </si>
  <si>
    <t>⚡ Mar 20 IRDAI licence renewal + Q4 results May</t>
  </si>
  <si>
    <t>Power exchange monopoly 83% share; coupling 18-24m away; vol +30%</t>
  </si>
  <si>
    <t>⚡ CERC draft coupling regulations publication</t>
  </si>
  <si>
    <t>Federal Bank housing arm; +15%; housing cycle ongoing</t>
  </si>
  <si>
    <t>Housing loan growth + asset quality</t>
  </si>
  <si>
    <t>MONITOR RE-ENTRY</t>
  </si>
  <si>
    <t>Best Indian IT for AI era; sold at loss; re-entry being tracked</t>
  </si>
  <si>
    <t>Re-entry on sector weakness: watch ₹4,200-4,400</t>
  </si>
  <si>
    <t>TRIM ON STRENGTH</t>
  </si>
  <si>
    <t>Silver ETF; gold/silver ratio compression in risk-off</t>
  </si>
  <si>
    <t>Trim toward ₹30-32 on upmoves</t>
  </si>
  <si>
    <t>HOLD — CONSIDER ADD</t>
  </si>
  <si>
    <t>Domain KPO; promoter bought back at ₹4,800 vs CMP ₹3,222</t>
  </si>
  <si>
    <t>Promoter buyback continuation signal</t>
  </si>
  <si>
    <t>HOLD TO MATURITY</t>
  </si>
  <si>
    <t>2 SGBs combined. Tax-free at maturity.</t>
  </si>
  <si>
    <t>Hold both to maturity — zero action</t>
  </si>
  <si>
    <t>PORTFOLIO BRIEF  —  ALL HOLDINGS ANNOTATED</t>
  </si>
  <si>
    <t>BAJFINANCE avg corrected to ₹660  ·  Finance broken to sub-sectors  ·  IT sector reviewed post AI-disruption analysis</t>
  </si>
  <si>
    <t># HOLDINGS</t>
  </si>
  <si>
    <t>₹10,119,879</t>
  </si>
  <si>
    <t>ALL HOLDINGS</t>
  </si>
  <si>
    <t>Symbol</t>
  </si>
  <si>
    <t>Sub-Sector</t>
  </si>
  <si>
    <t>Wt%</t>
  </si>
  <si>
    <t>Avg Cost</t>
  </si>
  <si>
    <t>CMP</t>
  </si>
  <si>
    <t>Invested (₹)</t>
  </si>
  <si>
    <t>Mkt Val (₹)</t>
  </si>
  <si>
    <t>P&amp;L (₹)</t>
  </si>
  <si>
    <t>Ret %</t>
  </si>
  <si>
    <t>LT Qty</t>
  </si>
  <si>
    <t>Action</t>
  </si>
  <si>
    <t>Tag</t>
  </si>
  <si>
    <t>Notes</t>
  </si>
  <si>
    <t>⭐ CORE</t>
  </si>
  <si>
    <t>Structural hold. Central bank demand, dollar re-rating, geopolitical hedge intact. ~11% weight is intentional. No trim despite size — gold is in a structural demand scenario.</t>
  </si>
  <si>
    <t>✅ RUNNING</t>
  </si>
  <si>
    <t>Avg corrected to ₹660. CMP ₹945 = ~43% gain. Consumer lending market leader, strong franchise.</t>
  </si>
  <si>
    <t>👁 WATCH</t>
  </si>
  <si>
    <t>Ujjivan SFB. MFI stress cycle. Monitor NPA trajectory and collection efficiency quarterly.</t>
  </si>
  <si>
    <t>✂️ TRIM</t>
  </si>
  <si>
    <t>PSU with government-capped upside. Energy transition headwind even if decade away. No LT shares — clean trim available. Redeploy into conviction names.</t>
  </si>
  <si>
    <t>Top-tier private bank. Consistent compounder. Core holding.</t>
  </si>
  <si>
    <t>All 441 shares LT. Affordable housing finance. Full LTCG on any exit.</t>
  </si>
  <si>
    <t>Quartz kitchen sinks niche global exporter. 425/550 shares LT — LTCG friction on majority. Ongoing story.</t>
  </si>
  <si>
    <t>PSU bank. +24% gain. Decent run. Lower conviction vs private banks but no exit reason.</t>
  </si>
  <si>
    <t>CreditAccess Grameen. Quality MFI, conservative underwriting. 275/350 shares LT.</t>
  </si>
  <si>
    <t>+7% for holding period is underwhelming for a large cap. No LT shares, no tax friction. Partial trim frees capital.</t>
  </si>
  <si>
    <t>Narayana Hrudayalaya. 200/240 shares LT. Healthcare delivery compounder, asset-light model. Multi-year story.</t>
  </si>
  <si>
    <t>Largest private bank. Merger integration largely complete. Core holding.</t>
  </si>
  <si>
    <t>👁 REVIEW</t>
  </si>
  <si>
    <t>Defence electronics. Thesis = India defence capex cycle. Zero return so far. No LT shares. Decision needed: capex cycle delayed or thesis structurally broken? Tax loss harvest option available.</t>
  </si>
  <si>
    <t>⭐ THESIS BUILDING</t>
  </si>
  <si>
    <t>NOT generic fertiliser. TAN (Technical Ammonium Nitrate) for mining/blasting. Plant 92% complete, April 2026 commissioning. Entering undersupplied market as 5th player. First TAN revenue Q1/Q2 FY27 is the catalyst. ~5–6% across accounts, conviction high.</t>
  </si>
  <si>
    <t>⭐ THESIS INTACT</t>
  </si>
  <si>
    <t>NOT a sugar company. ~90% SOTP value = Coromandel International stake at 50–60% holdco discount. Patience trade. FII count nearly doubled. Not adding aggressively. Target up to 7% if it corrects more.</t>
  </si>
  <si>
    <t>🎯 HIGH CONV.</t>
  </si>
  <si>
    <t>SFB turnaround inflecting. JLG DPD ₹378Cr → &lt;₹50Cr in 3 months. Rights issue at ₹14 brought in Madhu Kela, Kotak Life, ICICI Pru. Secured book now 50%. CAR ~20%. Target 3–4% allocation.</t>
  </si>
  <si>
    <t>Rainbow paediatric hospitals. 190/235 shares LT. Niche healthcare, LTCG lock-in on majority.</t>
  </si>
  <si>
    <t>MF registrar &amp; transfer agent. Structural India MF AUM growth beneficiary. 200/450 shares LT. Some weakness — monitor for add.</t>
  </si>
  <si>
    <t>Small loss. Pharma. Thesis clarity needed. No LT shares — clean exit with small loss harvest if conviction is low.</t>
  </si>
  <si>
    <t>All 180 shares LT. +47.5% gain. Industrial capex compounder. Leave it running.</t>
  </si>
  <si>
    <t>TPA market leader post-Paramount (36.6% group segment share). MIT endowment in at ₹535 — 10yr+ horizon. CMP ₹340 = better entry than MIT. Target 6–7%. Stagger: now → Q4 FY26 results (May) → ED closure. Watch: FII holding trend, Bessemer successor holders.</t>
  </si>
  <si>
    <t>🎯 ACCUMULATE</t>
  </si>
  <si>
    <t>India's electricity exchange monopoly (83% mkt share). Coupling overhang mispriced on timing and magnitude — min 18–24 months from March 2026. Feb 2026 volume +30.4% YoY (highest ever). Tainted CERC (SEBI insider trading case) reduces enforcement appetite. P/E ~22x vs exchange peers 30–40x. 720 LT + 1,030 non-LT = full position retained. Target 3–4% weight. Accumulate ₹115–120 (strong); aggressive add ₹100–105. Div yield ~2.5% while waiting. See ⚡ IEX Deep Dive.</t>
  </si>
  <si>
    <t>1,450/1,601 shares LT. Federal Bank housing arm. +15% return. Housing cycle has legs.</t>
  </si>
  <si>
    <t>🔍 RE-ENTRY?</t>
  </si>
  <si>
    <t>SOLD AT LOSS — MAY HAVE BEEN PREMATURE. Best-positioned Indian IT for the AI era. 23 consecutive quarters of growth. Microsoft Frontier Firm. SASVA platform generates net-new AI revenue (not compressing existing). $674M TCV Q3 FY26. Europe +37% YoY. Sector sell-off is macro fear not fundamentals. Watch for re-entry opportunity.</t>
  </si>
  <si>
    <t>✂️ TRIM UPSIDE</t>
  </si>
  <si>
    <t>Trim on upmoves toward ₹30–32. Gold/silver ratio compresses in risk-off — use those windows. Small position (1.3%).</t>
  </si>
  <si>
    <t>👁 CONSIDER ADD</t>
  </si>
  <si>
    <t>Domain-specialist KPO in capital markets analytics. NOT generic IT. Promoter at 54.5% bought back at ₹4,800 vs CMP ₹3,222 — the strongest possible signal. AI risk much lower than peers (domain judgment required). Consider modest add.</t>
  </si>
  <si>
    <t>🔒 MATURITY</t>
  </si>
  <si>
    <t>ACTION SUMMARY  —  WORKING CHECKLIST</t>
  </si>
  <si>
    <t>Numbers removed — live P&amp;L/Wt% in 📡 LLM Context and 📊 Portfolio Brief. This sheet: actions + rationale only.</t>
  </si>
  <si>
    <t>🎯 ACCUMULATE — BUILD POSITIONS</t>
  </si>
  <si>
    <t>Action Note / Rationale</t>
  </si>
  <si>
    <t>MEDIASSIST: target 6–7%, tranches now/May/ED closure. UTKARSHBNK: target 3–4%, turnaround confirmed by data. IEX: target 3–4%, accumulate ₹115–120; retain all 1,750 shares. See ⚡ IEX Deep Dive.</t>
  </si>
  <si>
    <t>✂️ TRIM — FREE UP CAPITAL</t>
  </si>
  <si>
    <t>CoalIndia + LT: partial trims for capital redeployment. Combined ~₹3–5L.</t>
  </si>
  <si>
    <t>📈 TRIM ON STRENGTH</t>
  </si>
  <si>
    <t>Trim silver toward ₹30–32 on upmoves. Keep gold full.</t>
  </si>
  <si>
    <t>⭐ CORE — DO NOTHING</t>
  </si>
  <si>
    <t>GOLDIETF: structural hold, no trim. CHAMBLFERT: wait for TAN revenue print. EIDPARRY: holdco patience trade.</t>
  </si>
  <si>
    <t>✅ HOLD — RUNNING</t>
  </si>
  <si>
    <t>Ongoing thesis, performing or recovering. Review quarterly.</t>
  </si>
  <si>
    <t>👁 WATCH — DECISION PENDING</t>
  </si>
  <si>
    <t>ASTRAMICRO: thesis delayed or broken? ZYDUSLIFE: small loss harvest option. CAMS: monitor for add opportunity.</t>
  </si>
  <si>
    <t>🔍 IT CLUSTER — POST AI REVIEW</t>
  </si>
  <si>
    <t>PERSISTENT: best Indian IT for AI era — sold at loss, consider re-entry. ECLERX: promoter buyback at ₹4,800 vs CMP ₹3,222 — consider modest add. See IT Deep Dive tab.</t>
  </si>
  <si>
    <t>🔍 WATCHLIST — NOT YET HELD</t>
  </si>
  <si>
    <t>— See IT Deep Dive tab for detail —</t>
  </si>
  <si>
    <t>SAGILITY: US healthcare BPO, AI accelerates not disrupts, CMP ~₹50. Consider tracking position.</t>
  </si>
  <si>
    <t>🔒 HOLD TO MATURITY</t>
  </si>
  <si>
    <t>SGBs combined (6 units, 2 bonds). Tax-free at maturity. Zero action.</t>
  </si>
  <si>
    <t>🔬  PRIORITY RESEARCH  —  TOP 5 ACTIONS  |  Updated 6 March 2026</t>
  </si>
  <si>
    <t>Secondary reasoning and web research appended post-session. Source: Live web data, company filings, earnings calls.</t>
  </si>
  <si>
    <t>STOCK</t>
  </si>
  <si>
    <t>PRIORITY</t>
  </si>
  <si>
    <t>VERDICT</t>
  </si>
  <si>
    <t>RESEARCH NOTES — 6 Mar 2026</t>
  </si>
  <si>
    <t>①  MEDIASSIST  —  ACCUMULATE  |  Target 6–7%</t>
  </si>
  <si>
    <t>ED Risk Update</t>
  </si>
  <si>
    <t>ED search (April 4, 2025, Ranchi) is unchanged in status — management stated no adverse impact in Q3 FY26 filings. No escalation to formal charges or IRDAI action since the original search. This tail risk remains OPEN but has NOT worsened.</t>
  </si>
  <si>
    <t>⚠️ NEW: GST Resolution</t>
  </si>
  <si>
    <t>Medi Assist TPA paid ₹4.83Cr to GST authorities (Feb 16–Mar 2, 2026 search) to avoid penalties. This is a POSITIVE development — the GST matter closed via payment rather than formal proceedings. Removes one uncertainty from the bear case.</t>
  </si>
  <si>
    <t>Q3 FY26 Results</t>
  </si>
  <si>
    <t>Consolidated revenue ₹2,396Cr (+64% YoY, Paramount consolidation driving bulk). Consolidated PAT ₹41Cr (down 86% YoY) — distorted by exceptional items: ₹37.68Cr cybersecurity costs, ₹33.27Cr labor codes, ₹71Cr advance pending reconciliation. STANDALONE PAT ₹118Cr (+222% YoY) — the clean business is doing well. 9M standalone PAT ₹374.92Cr. Company became debt-free from Jan 2026 confirmed.</t>
  </si>
  <si>
    <t>⚠️ IRDAI Licence Renewal</t>
  </si>
  <si>
    <t>IRDAI TPA Licence (No. 003) validity: 20 March 2026 — expiry THIS MONTH. This is routine renewal but must be confirmed. If not renewed or delayed, it is an existential trigger. Track for confirmation by March 20.</t>
  </si>
  <si>
    <t>Integration Milestones</t>
  </si>
  <si>
    <t>Feb 6, 2026: Board approved Scheme of Merger — Paramount TPA (PHTPA) to be absorbed into MAITPA. Integration is proceeding structurally. Promoter reclassification from Promoter Group to Public filed Jan 2026 (SEBI Reg 31A) — not a red flag, routine corporate governance action.</t>
  </si>
  <si>
    <t>New Expansion</t>
  </si>
  <si>
    <t>Feb 27, 2026: Partnership with LawtonAsia to deploy AI health-insurance platform in Thailand. Implementation started, go-live expected soon. Small but signals the platform has export potential beyond India.</t>
  </si>
  <si>
    <t>📌 Revised Action Note</t>
  </si>
  <si>
    <t>ACCUMULATE — thesis strengthened, not weakened. GST resolved. ED status quo (no escalation). IRDAI renewal this month is the single most important binary to track. Tranches: NOW (current ~₹340) → Q4 results May → ED closure. Add IRDAI renewal confirmation as Tranche 1 prerequisite watch. MIT underwater at ₹535 remains anchor.</t>
  </si>
  <si>
    <t>②  CHAMBLFERT  —  HOLD / WAIT  |  TAN April 2026</t>
  </si>
  <si>
    <t>TAN Status — CONFIRMED</t>
  </si>
  <si>
    <t>Q3 FY26 earnings call (Feb 13, 2026): Management REAFFIRMED April 30, 2026 commissioning. No further slippage. Engineering 99.86% done, procurement 99.80%, construction 88.01%. Total completion 92.65%. ₹1,184Cr spent of ₹1,645Cr. Catalyst is ON SCHEDULE and approaching fast.</t>
  </si>
  <si>
    <t>Q3 FY26 Financials</t>
  </si>
  <si>
    <t>Standalone revenue ₹5,898Cr (+20% YoY), EBITDA ₹821Cr (+6%), PAT ₹565Cr (+12%). 9M revenue +27%, PAT +16%. Base business performing well. CPC &amp; Specialty Nutrients +33% YoY. Complex fertilisers +81% YoY. Biologicals growing.</t>
  </si>
  <si>
    <t>⚠️ Margin Compression</t>
  </si>
  <si>
    <t>EBITDA margin Q3: 13.92% vs 15.82% prior year (–190bps). 9M: 13.46% vs 16.34% prior year. Driven by input cost pressure (sulfur, phosphoric acid, ammonia). Not alarming — base urea margins have ceiling (NIP-2012). The TAN business (no subsidy, no margin cap) is the structural fix. Monitor but within acceptable range.</t>
  </si>
  <si>
    <t>Gadepan-II Shutdown</t>
  </si>
  <si>
    <t>Planned maintenance shutdown for Gadepan-II plant: Feb 20, 2026, ~30-35 days. This will create a small Q4 volume dip for urea — already flagged by management. Non-event, scheduled maintenance. Watch Q4 FY26 results for confirmation.</t>
  </si>
  <si>
    <t>Future Growth Signals</t>
  </si>
  <si>
    <t>ICRA reaffirmed TAN commercial operations April 2026. NIP-2012 policy (G-3 plant) expires Dec 2026 — policy uncertainty risk on urea returns, but TAN addresses this by reducing subsidy dependence. IMACID JV capacity expanding from 5 to 7 lakh MT P2O5 by Dec 2026. Management exploring vertical and horizontal TAN expansion (LDAN capacity already provisioned in plant design). Agreement with TERI for advanced agricultural solutions.</t>
  </si>
  <si>
    <t>HOLD — DO NOTHING. TAN catalyst is on track and imminent. Conviction HIGH. Watch for: (a) any April delay announcements, (b) first TAN revenue in Q1/Q2 FY27 results. The ₹654 peak hit in Apr 2025 on TAN expectations is likely to revisit once first revenue prints. Hold full 850 shares.</t>
  </si>
  <si>
    <t>③  UTKARSHBNK  —  ACCUMULATE  |  Target 3–4%</t>
  </si>
  <si>
    <t>Q3 FY26 — Net Loss ₹375Cr</t>
  </si>
  <si>
    <t>Net loss ₹375Cr for Q3; 9M loss ₹963Cr. This is KNOWN stress — fully provisioned. The loss is the price of front-loading provisions. Pre-provision operating loss only ₹44Cr (small). Loan portfolio contracted 3.9% YoY to ₹18,306Cr — intentional, not distress.</t>
  </si>
  <si>
    <t>✅ DPD Inflection Confirmed</t>
  </si>
  <si>
    <t>JLG 1-to-90 DPD: ₹378Cr (Oct 2025) → &lt;₹50Cr (Jan 2026). 87% reduction in 3 months. 1-to-30 DPD (freshest stress): ₹170Cr → &lt;₹50Cr. These numbers are REAL and non-reversible for the cohort already cleared. The October 2025 festival season was the absolute stress peak.</t>
  </si>
  <si>
    <t>✅ Disbursements Recovering</t>
  </si>
  <si>
    <t>Monthly disbursements: ₹800Cr (Oct) → ₹1,000Cr (Nov) → ₹1,100Cr (Dec) → ₹1,200Cr+ (Jan 2026). 50% growth in 3 months. Critically: JLG segment itself started growing again from January — first time in multiple quarters.</t>
  </si>
  <si>
    <t>Collection Efficiency</t>
  </si>
  <si>
    <t>X-bucket efficiency: 99.1% overall Q3; 99.5% JLG-specific in December. January even higher. Management guidance: will not fall below 99.5% again. CAR 20.1% (post ₹950Cr rights). LCR 207%, surplus liquidity ₹4,700Cr. This bank is not a capital risk.</t>
  </si>
  <si>
    <t>Asset Mix Transformation</t>
  </si>
  <si>
    <t>Secured lending: 50% of loan book (from 41% a year ago, 10% in early years). JLG exposure down from 90% (FY20) to 33% now. This bank structurally CANNOT repeat the same MFI stress — the business model is changing. Deposits +4.5% YoY despite stress; retail term deposits +23.8% YoY; CASA ratio improved to 21.9%.</t>
  </si>
  <si>
    <t>⚠️ Management Changes</t>
  </si>
  <si>
    <t>CHRO Hitain Sharma resigned Feb 27, 2026. Director Muralidharan Rajamani ceased Mar 2, 2026 (5-year term completion — routine). Worth monitoring for further senior exits, but no red flag yet. Smart money (FIIs +10.12%, DIIs +7.35%) accumulated in Q3 — the same quarter of worst-ever quarterly loss.</t>
  </si>
  <si>
    <t>ACCUMULATE — conviction STRONGER. Q4 FY26 is expected to be first visible QoQ AUM growth on pre-write-off basis (catalyst: next quarterly result ~May 2026). Add in tranches each quarter clean data prints. Current weight ~2.9%. Target 3–4%. Gross NPA still at 11% — this is the legacy tail, not new slippages. Monitor: monthly collection data, Q4 JLG NPA formation.</t>
  </si>
  <si>
    <t>④  ASTRAMICRO  —  THESIS DELAYED, NOT BROKEN  |  Hold, do NOT harvest</t>
  </si>
  <si>
    <t>Q3 FY26 — Sequential Recovery</t>
  </si>
  <si>
    <t>Standalone revenue ₹258Cr (+0.66% YoY, but +21.28% QoQ). Q2 was the trough. EBITDA ₹80Cr, margin 30.9% standalone / 31.7% consolidated — BEST margin in many quarters. PAT ₹39Cr standalone, ₹47Cr consolidated. 9M FY26: highest-ever nine-month performance across revenue, EBITDA and PAT.</t>
  </si>
  <si>
    <t>✅ Order Book at Record ₹2,226Cr</t>
  </si>
  <si>
    <t>Standalone order book ₹2,226Cr as of Dec 31, 2025 (2x annual revenue — strong visibility). Consolidated ₹2,566Cr. Q3 new orders: ₹476Cr. 9M order inflows: ₹852Cr. Q4 FY26 guidance: ₹550–600Cr of new orders (radar + EW systems). FY27 guidance: ₹1,500–1,600Cr.</t>
  </si>
  <si>
    <t>✅ NEW: Demerger Approved</t>
  </si>
  <si>
    <t>Feb 27, 2026: Board gave in-principle approval for DEMERGER of Space, Meteorology &amp; Hydrology businesses into a separate entity. This is a VALUE UNLOCK catalyst NOT in the original thesis. Focused entities, separate growth strategies, potential re-rating. Astra Space Technologies (wholly-owned sub, ex-CFO moved there) is the vehicle. This changes the calculus against tax-loss harvesting.</t>
  </si>
  <si>
    <t>Why Flat Revenue</t>
  </si>
  <si>
    <t>Revenue flat YoY (0.66%) because defence projects have long gestation — approvals, inspections, delivery schedules delayed by government processes, NOT business failure. High receivables and inventory are inherent to long-gestation contracts. Customer advances 20-30% mitigate exposure. This is a structural feature of the business, not deterioration.</t>
  </si>
  <si>
    <t>Strategic Catalysts</t>
  </si>
  <si>
    <t>MoU with BEL for indigenous design and production in key defence technologies — opens production order pipeline with India's largest defence PSU. Astra Rafael Comsys JV: $18.19M executed in Q3, $80M order book, ₹350Cr+ FY26 revenue, ₹400Cr+ FY27. PBT margins 10-12%. AMCA (fighter jet) program: Astra targeted as radar and EW suite supplier. Defence budget FY26: ₹7.85 lakh Cr (record).</t>
  </si>
  <si>
    <t>VERDICT: THESIS DELAYED, NOT BROKEN. Do NOT tax-loss harvest. Q3 showed sequential recovery (margins, revenue). Order book at record. Demerger is a new unlocking catalyst. Key ask: need to see FY27 order inflows confirm ₹1,500Cr guidance (watch Q4 and Q1 FY27 results). If confirmed, this becomes a CORE position. Exit trigger stays: order book degrading below ₹1,500Cr, AMCA program removed.</t>
  </si>
  <si>
    <t>⑤  IEX  —  ACCUMULATE  |  Build to 3–4% target weight. Zones: ₹115–120 (strong), ₹100–105 (aggressive add)</t>
  </si>
  <si>
    <t>⚠️ APTEL Ruling — Feb 13</t>
  </si>
  <si>
    <t>APTEL disposed IEX's appeal on Feb 13, 2026. CERC can now proceed with market coupling framework. HOWEVER: APTEL explicitly stated market coupling CANNOT be implemented until CERC notifies specific formal regulations. As of the ruling date, not even draft regulations had been issued. This means implementation is deferred — not dead.</t>
  </si>
  <si>
    <t>Coupling Timeline — Pushed</t>
  </si>
  <si>
    <t>JM Financial estimates coupling not before December 2027. CERC's own corrigendum reclassified its July 2025 'order' as 'directions' — reducing legal force. The regulatory pathway now requires: draft regulations → public comments → final regulations → implementation. Multi-step process means 18–24 month runway minimum.</t>
  </si>
  <si>
    <t>SEBI Insider Trading</t>
  </si>
  <si>
    <t>SEBI's Oct 2025 interim order found prima facie insider trading by CERC officials and connected entities trading in IEX options ahead of the July 23 coupling announcement. This taints the CERC order's credibility and is a legal anchor for IEX in any future challenge to final regulations. The regulator's credibility is damaged — helps IEX's long-term fight.</t>
  </si>
  <si>
    <t>✅ Business Performing</t>
  </si>
  <si>
    <t>Feb 2026 volume: 12,550 MU — 30.4% YoY growth. Highest daily average volume ever. Business fundamentals are strong and accelerating. Electricity demand is structural. This is purely a regulatory overhang trade, not a deteriorating business story.</t>
  </si>
  <si>
    <t>Analyst Sentiment</t>
  </si>
  <si>
    <t>Bloomberg consensus: 4 Buy, 3 Hold, 6 Sell. Average 12-month target implies ~1% downside from current levels. Market is split. The Bear case: coupling erodes pricing power over 3–5 years. Bull case: coupling delayed to 2027+, volumes accelerate, overhang lifts. IEX has liberty to challenge final regulations when notified.</t>
  </si>
  <si>
    <t>ACCUMULATING — position being increased. Market wrong on timing + magnitude. Coupling min 18–24 months away. Volume +30% YoY. Tainted CERC reduces enforcement appetite. Dividend yield ~2.5% while waiting. Target 3–4% weight. See ⚡ IEX Deep Dive for full thesis + triggers.</t>
  </si>
  <si>
    <t>Research conducted 6 March 2026  ·  Sources: Company filings, BSE/NSE announcements, Q3 FY26 earnings calls, SEBI/APTEL orders, live web data  ·  For decision support only — not investment advice</t>
  </si>
  <si>
    <t>⑥  ZYDUSLIFE  —  EXIT VALIDATED  |  Good quarter, wrong portfolio slot</t>
  </si>
  <si>
    <t>Q3 FY26 — Actually Strong</t>
  </si>
  <si>
    <t>Research confirms: Q3 FY26 revenue +30% YoY to ₹6,864Cr. EBITDA +31% to ₹1,816Cr. Margin 26.5% (+20bps). Adjusted PAT +9% to ₹1,110Cr. US generics growing 16% YoY. India branded formulations +14% YoY. Pipeline milestones: Andy robotic system CE mark, Saroglitazar NDA filing imminent, Zycubo FDA approval (Menkes disease — first-ever therapy). 9M EBITDA margin 30.3% (+80bps). The business is performing well. This is important context for the exit logic.</t>
  </si>
  <si>
    <t>Why EXIT Anyway — The capital opportunity cost case</t>
  </si>
  <si>
    <t>The exit is NOT because Zydus is failing. It is because:
  1.  NO EDGE THESIS: Original file noted 'thesis clarity needed.' Research confirms this. Zydus is a diversified pharma — good execution but nothing in the portfolio creates an information edge vs the consensus. You are holding a well-run large-cap that anyone can own.
  2.  NO LT SHARES: 100% STCL harvest (–3.4%, ~₹9,400). You exit on a strong quarter — stock is up on results, giving a better execution price.
  3.  OPPORTUNITY COST: That ₹2.7L does 10x more work in MEDIASSIST (where you have a thesis edge: MIT anchor, TPA platform moat, Paramount integration) or NH (Cayman inflecting, cheapest hospital chain). Both have a specific reason only YOU have surfaced vs Zydus which is fully consensus.
  4.  DEBT ADDED: Net debt went from zero (FY25) to ₹2,872Cr (Dec 2025) due to acquisitions (Amplitude Surgical, Comfort Click, Agenus CDMO). +0.36x debt/EBITDA is still low but was a clean balance sheet — integration risk now present.
  5.  SEQUENTIAL RISK: Q2 FY26 showed sequential PAT decline of 17.2%. Q3 recovered but the lumpiness is real. Specialty products (Lenalidomide-type) have cliff risk.</t>
  </si>
  <si>
    <t>Exit Mechanics</t>
  </si>
  <si>
    <t>Timing: Exit this week while Q3 results are fresh and stock trades ~₹897–920. Avoid waiting for it to give back gains.
Tax: STCL ~₹9,400 (300 shares × ~₹31 loss per share at avg ₹928). Minor but useful against future STCG on BANKBARODA trim or COALINDIA trim.
Proceeds: ~₹2.7L → primary allocation to MEDIASSIST (post IRDAI confirmation Mar 20), secondary to NH top-up.
📌 VERDICT: Exit confirmed. Not because Zydus is broken — it isn't. Because ₹2.7L works harder elsewhere in a more differentiated thesis.</t>
  </si>
  <si>
    <t>🗺️  PORTFOLIO ROADMAP  —  29 → 25 → 20  |  Revised 7 Mar 2026  |  Merges: Road to 20 + Consolidation Plan</t>
  </si>
  <si>
    <t>27 active holdings (LIQUIDBEES removed, SGBs combined)  ·  Wave 1 = execute this week  ·  Wave 2 = gradual over 6-9 months</t>
  </si>
  <si>
    <t>🚪  WAVE 1 EXITS  —  29 → 26  |  Execute this week  |  3 confirmed exits</t>
  </si>
  <si>
    <t>WT</t>
  </si>
  <si>
    <t>P&amp;L</t>
  </si>
  <si>
    <t>TAX</t>
  </si>
  <si>
    <t>PROCEEDS</t>
  </si>
  <si>
    <t>DEPLOY INTO</t>
  </si>
  <si>
    <t>RATIONALE</t>
  </si>
  <si>
    <t>2.7%</t>
  </si>
  <si>
    <t>−3.4%</t>
  </si>
  <si>
    <t>STCL ~₹9,400</t>
  </si>
  <si>
    <t>~₹2.7L</t>
  </si>
  <si>
    <t>NH top-up</t>
  </si>
  <si>
    <t>No edge thesis. Exit on good quarter. Loss harvest useful offset.</t>
  </si>
  <si>
    <t>2.8%</t>
  </si>
  <si>
    <t>−5%</t>
  </si>
  <si>
    <t>LTCL harvest (zero LTCG)</t>
  </si>
  <si>
    <t>~₹2.85L</t>
  </si>
  <si>
    <t>Duplicate vs NH. Occupancy 47% vs target 55-60%. NH stronger compounder.</t>
  </si>
  <si>
    <t>4.2%</t>
  </si>
  <si>
    <t>+7%</t>
  </si>
  <si>
    <t>STCG ~₹2,100 (minimal)</t>
  </si>
  <si>
    <t>~₹4.3L</t>
  </si>
  <si>
    <t>MEDIASSIST primary</t>
  </si>
  <si>
    <t>Underwhelming return. KIRLOSENG covers capex. No LT friction. Deploy to conviction.</t>
  </si>
  <si>
    <t>✂️  WAVE 1 TRIMS  —  Concurrent with exits</t>
  </si>
  <si>
    <t>CUR WT</t>
  </si>
  <si>
    <t>TARGET WT</t>
  </si>
  <si>
    <t>SHARES TO SELL</t>
  </si>
  <si>
    <t>TAX NOTE</t>
  </si>
  <si>
    <t>REDEPLOY INTO</t>
  </si>
  <si>
    <t>5.4%</t>
  </si>
  <si>
    <t>2.5–3%</t>
  </si>
  <si>
    <t>~5,000 shares</t>
  </si>
  <si>
    <t>STCG on +30% ~₹37,500</t>
  </si>
  <si>
    <t>UTKARSHBNK primary · CREDITACC on dips</t>
  </si>
  <si>
    <t>5.2%</t>
  </si>
  <si>
    <t>~420 shares</t>
  </si>
  <si>
    <t>~₹1.8L</t>
  </si>
  <si>
    <t>STCG on +12% ~₹6,600</t>
  </si>
  <si>
    <t>⚡  EXECUTION SEQUENCE  —  Ordered by urgency</t>
  </si>
  <si>
    <t>STEP</t>
  </si>
  <si>
    <t>TIMING</t>
  </si>
  <si>
    <t>CAPITAL IMPACT</t>
  </si>
  <si>
    <t>NOTE</t>
  </si>
  <si>
    <t>1</t>
  </si>
  <si>
    <t>NOW</t>
  </si>
  <si>
    <t>₹115–120 zone</t>
  </si>
  <si>
    <t>Build to 3-4%. See ⚡ IEX Deep Dive</t>
  </si>
  <si>
    <t>2</t>
  </si>
  <si>
    <t>BEFORE MAR 20</t>
  </si>
  <si>
    <t>MONITOR — do NOT add yet</t>
  </si>
  <si>
    <t>Watch IRDAI renewal</t>
  </si>
  <si>
    <t>Binary — confirm licence renewal Mar 20 before adding</t>
  </si>
  <si>
    <t>3</t>
  </si>
  <si>
    <t>THIS WEEK</t>
  </si>
  <si>
    <t>EXIT all 300 shares</t>
  </si>
  <si>
    <t>~₹2.7L freed</t>
  </si>
  <si>
    <t>STCL ~₹9,400 — useful offset</t>
  </si>
  <si>
    <t>4</t>
  </si>
  <si>
    <t>EXIT all 235 shares</t>
  </si>
  <si>
    <t>~₹2.85L freed</t>
  </si>
  <si>
    <t>LTCL + STCL harvest. Zero LTCG</t>
  </si>
  <si>
    <t>5</t>
  </si>
  <si>
    <t>TRIM ~420 shares</t>
  </si>
  <si>
    <t>~₹1.8L freed</t>
  </si>
  <si>
    <t>STCG ~₹6,600 on +12%</t>
  </si>
  <si>
    <t>6</t>
  </si>
  <si>
    <t>TRIM ~5,000 shares</t>
  </si>
  <si>
    <t>STCG ~₹37,500 on +30%</t>
  </si>
  <si>
    <t>7</t>
  </si>
  <si>
    <t>THIS WEEK / AFTER IRDAI</t>
  </si>
  <si>
    <t>EXIT all 110 shares (keep 20 tracker if wanted)</t>
  </si>
  <si>
    <t>~₹4.3L freed</t>
  </si>
  <si>
    <t>STCG ~₹2,100 — minimal</t>
  </si>
  <si>
    <t>8</t>
  </si>
  <si>
    <t>AFTER EXITS</t>
  </si>
  <si>
    <t>ADD ~100–120 shares</t>
  </si>
  <si>
    <t>Deploy RAINBOW + COALINDIA ~₹5L</t>
  </si>
  <si>
    <t>Fresh STCG basis</t>
  </si>
  <si>
    <t>9</t>
  </si>
  <si>
    <t>AFTER IRDAI MAR 20</t>
  </si>
  <si>
    <t>ADD tranches</t>
  </si>
  <si>
    <t>Deploy LT proceeds ~₹3–4L</t>
  </si>
  <si>
    <t>Fresh basis at ~₹340</t>
  </si>
  <si>
    <t>10</t>
  </si>
  <si>
    <t>EACH CLEAN QUARTER</t>
  </si>
  <si>
    <t>Deploy UJJIVANSFB proceeds ~₹2L+</t>
  </si>
  <si>
    <t>Fresh basis at ~₹13</t>
  </si>
  <si>
    <t>11</t>
  </si>
  <si>
    <t>ON DIPS</t>
  </si>
  <si>
    <t>ADD opportunistically</t>
  </si>
  <si>
    <t>Residual trim proceeds</t>
  </si>
  <si>
    <t>275 LT already held</t>
  </si>
  <si>
    <t>12</t>
  </si>
  <si>
    <t>MODEST ADD ~10–15 shares</t>
  </si>
  <si>
    <t>~₹0.3–0.5L</t>
  </si>
  <si>
    <t>Promoter ₹4,800 signal anchor</t>
  </si>
  <si>
    <t>💰  CAPITAL REDEPLOYMENT  —  ~₹11–12L freed → where it goes</t>
  </si>
  <si>
    <t>TARGET</t>
  </si>
  <si>
    <t>CAPITAL FROM</t>
  </si>
  <si>
    <t>AMOUNT</t>
  </si>
  <si>
    <t>NEW WT</t>
  </si>
  <si>
    <t>RAINBOW + partial COALINDIA</t>
  </si>
  <si>
    <t>~₹4–5L</t>
  </si>
  <si>
    <t>6–7%</t>
  </si>
  <si>
    <t>Cayman inflecting. Cheapest hospital chain. 200 LT held, add 100-120 more.</t>
  </si>
  <si>
    <t>UJJIVANSFB trim (primary)</t>
  </si>
  <si>
    <t>~₹2L+</t>
  </si>
  <si>
    <t>4–5%</t>
  </si>
  <si>
    <t>DPD 87% cleared. Smart money rights ₹14. Add each clean quarterly print.</t>
  </si>
  <si>
    <t>HEALTHCARE INFRA</t>
  </si>
  <si>
    <t>LT exit + partial ZYDUS</t>
  </si>
  <si>
    <t>~₹3–4L</t>
  </si>
  <si>
    <t>5–6%</t>
  </si>
  <si>
    <t>Post IRDAI confirmation Mar 20. MIT anchor ₹535 vs CMP ₹340.</t>
  </si>
  <si>
    <t>UJJIVANSFB trim (secondary — dips only)</t>
  </si>
  <si>
    <t>~₹0.7L</t>
  </si>
  <si>
    <t>4.5–5%</t>
  </si>
  <si>
    <t>275 LT held. Quality MFI anchor. Opportunistic only.</t>
  </si>
  <si>
    <t>🎯  TARGET PORTFOLIO  —  25 stocks now → 20 stocks (6-9 months)</t>
  </si>
  <si>
    <t>#</t>
  </si>
  <si>
    <t>CONVICTION</t>
  </si>
  <si>
    <t>THESIS IN ONE LINE</t>
  </si>
  <si>
    <t>ETF / GOLD</t>
  </si>
  <si>
    <t>10–11%</t>
  </si>
  <si>
    <t>⭐ STRUCTURAL</t>
  </si>
  <si>
    <t>Central bank demand + dollar re-rating. No trim.</t>
  </si>
  <si>
    <t>Consumer lending market leader. 43% gain. Running.</t>
  </si>
  <si>
    <t>SIZE UP → HOLD</t>
  </si>
  <si>
    <t>⭐ HIGH CONV.</t>
  </si>
  <si>
    <t>Cayman inflecting. Cheapest hospital chain. Asset-light compounder.</t>
  </si>
  <si>
    <t>5–7%</t>
  </si>
  <si>
    <t>TPA market leader. MIT anchor ₹535. Platform moat.</t>
  </si>
  <si>
    <t>Best-in-class private bank. Consistent compounder.</t>
  </si>
  <si>
    <t>441 LT shares. Affordable housing cycle.</t>
  </si>
  <si>
    <t>FMCG / EXPORT</t>
  </si>
  <si>
    <t>HIGH</t>
  </si>
  <si>
    <t>Niche quartz sink exporter. 425 LT. Global cycle play.</t>
  </si>
  <si>
    <t>PSU BANKING</t>
  </si>
  <si>
    <t>HOLD (MOMENTUM)</t>
  </si>
  <si>
    <t>Sole PSU exposure. Momentum trade. Not consensus.</t>
  </si>
  <si>
    <t>HOLD + ADD DIPS</t>
  </si>
  <si>
    <t>275 LT. Conservative MFI underwriting. Quality anchor.</t>
  </si>
  <si>
    <t>FERTILIZERS / TAN</t>
  </si>
  <si>
    <t>TAN commissioning April 2026. First revenue Q1/Q2 FY27.</t>
  </si>
  <si>
    <t>4%</t>
  </si>
  <si>
    <t>175 LT. Merger integration done. Core holding.</t>
  </si>
  <si>
    <t>HOLD — UPGRADED</t>
  </si>
  <si>
    <t>Demerger catalyst. Order book ₹2,226Cr record.</t>
  </si>
  <si>
    <t>HOLDCO / AGRI</t>
  </si>
  <si>
    <t>3–4%</t>
  </si>
  <si>
    <t>Coromandel at 50-60% discount. FII accumulating.</t>
  </si>
  <si>
    <t>JLG DPD 87% cleared. Smart money ₹14. Turnaround.</t>
  </si>
  <si>
    <t>ENGINEERING</t>
  </si>
  <si>
    <t>180 LT. +47.5%. Industrial capex compounder.</t>
  </si>
  <si>
    <t>ENERGY EXCHANGE</t>
  </si>
  <si>
    <t>Coupling 18-24m away. Vol +30% YoY. Tainted CERC.</t>
  </si>
  <si>
    <t>IT / KPO</t>
  </si>
  <si>
    <t>HOLD + MODEST ADD</t>
  </si>
  <si>
    <t>2–3%</t>
  </si>
  <si>
    <t>Domain KPO. Promoter ₹4,800 buyback vs CMP ₹3,222.</t>
  </si>
  <si>
    <t>IT / AI ENG.</t>
  </si>
  <si>
    <t>RE-ENTRY OR EXIT</t>
  </si>
  <si>
    <t>Best Indian AI-era IT. Proper position or clean exit.</t>
  </si>
  <si>
    <t>PSU / ENERGY</t>
  </si>
  <si>
    <t>TRIM → HOLD</t>
  </si>
  <si>
    <t>MEDIUM</t>
  </si>
  <si>
    <t>Stabiliser. Trim at ₹480-500. Dividend floor.</t>
  </si>
  <si>
    <t>SOVEREIGN GOLD</t>
  </si>
  <si>
    <t>1.0%</t>
  </si>
  <si>
    <t>LOCKED</t>
  </si>
  <si>
    <t>2 SGBs combined. Tax-free at maturity. Zero action.</t>
  </si>
  <si>
    <t>🌊  WAVE 2 EXITS  —  25 → 20  |  Gradual over 6-9 months  |  Not urgent sells</t>
  </si>
  <si>
    <t>1.3%</t>
  </si>
  <si>
    <t>+18.7%</t>
  </si>
  <si>
    <t>Trim now, exit on strength ₹30-32</t>
  </si>
  <si>
    <t>Silver at 1.3% too small. No structural thesis. Exit cleanly → GOLDIETF + SGBs cover precious metals.</t>
  </si>
  <si>
    <t>2.0%</t>
  </si>
  <si>
    <t>+15%</t>
  </si>
  <si>
    <t>3–6 months on portfolio strength</t>
  </si>
  <si>
    <t>1,450 LT at +15%. Small trapped position. Gold loan angle = GOLDIETF. Better use in MEDIASSIST or NH.</t>
  </si>
  <si>
    <t>−10.7%</t>
  </si>
  <si>
    <t>6–12 months, watch MF AUM</t>
  </si>
  <si>
    <t>Record revenue. Passive India AUM beneficiary. No LLM edge vs consensus. If falls to ₹550–570: add or exit. Do not drift.</t>
  </si>
  <si>
    <t>5.4% → 3%</t>
  </si>
  <si>
    <t>+30%</t>
  </si>
  <si>
    <t>Wave 1 trim already planned</t>
  </si>
  <si>
    <t>After trim to 3%, reassess. Full exit in Wave 2 if UTKARSHBNK absorbs the MFI thesis cleanly.</t>
  </si>
  <si>
    <t>Revised 7 Mar 2026  ·  Tax notes indicative — verify with CA  ·  STCG 20%  ·  LTCG 12.5% above ₹1.25L exemption  ·  Replaces: 🎯 Road to 20 + 🔀 Consolidation Plan</t>
  </si>
  <si>
    <t>RISK &amp; CONCENTRATION FLAGS</t>
  </si>
  <si>
    <t>Sector</t>
  </si>
  <si>
    <t>Flag Type</t>
  </si>
  <si>
    <t>Detail</t>
  </si>
  <si>
    <t>Severity</t>
  </si>
  <si>
    <t>CONCENTRATION</t>
  </si>
  <si>
    <t>Single stock 10.9% of portfolio (&gt;10%)</t>
  </si>
  <si>
    <t>LARGE GAIN — REVIEW</t>
  </si>
  <si>
    <t>Gain +63.7% — LTCG &amp; rebalancing?</t>
  </si>
  <si>
    <t>MODERATE LOSS</t>
  </si>
  <si>
    <t>Unrealised loss -8.7%</t>
  </si>
  <si>
    <t>Unrealised loss -6.4%</t>
  </si>
  <si>
    <t>Unrealised loss -10.7%</t>
  </si>
  <si>
    <t>DEEP LOSS</t>
  </si>
  <si>
    <t>Unrealised loss -18.2% — review thesis</t>
  </si>
  <si>
    <t>DEEP LOSS — THESIS INTACT</t>
  </si>
  <si>
    <t>Unrealised loss -18.2% — thesis confirmed, accumulating. Coupling 18–24 months away. Volume +30% YoY. Tainted CERC = reduced enforcement risk.</t>
  </si>
  <si>
    <t>Unrealised loss -8.4%</t>
  </si>
  <si>
    <t>FINANCE (ALL SUBS)</t>
  </si>
  <si>
    <t>AGGREGATE FINANCE EXPOSURE</t>
  </si>
  <si>
    <t>All finance sub-sectors combined = 42.3% of portfolio</t>
  </si>
  <si>
    <t>Analysis as of 5 Mar 2026  |  9 flags  |  29 holdings  |  BAJFINANCE avg corrected to ₹660</t>
  </si>
  <si>
    <t>SCENARIO ANALYSIS</t>
  </si>
  <si>
    <t>Uniform market move on CMP. LTCG at 12.5% on LT gains &gt;₹1.25L exemption. Estimates only.</t>
  </si>
  <si>
    <t>Scenario</t>
  </si>
  <si>
    <t>Move</t>
  </si>
  <si>
    <t>Portfolio Value (₹)</t>
  </si>
  <si>
    <t>Total P&amp;L (₹)</t>
  </si>
  <si>
    <t>Return on Cost</t>
  </si>
  <si>
    <t>Change vs Today (₹)</t>
  </si>
  <si>
    <t>Est. LTCG Tax (₹)</t>
  </si>
  <si>
    <t>Post-Tax Value (₹)</t>
  </si>
  <si>
    <t>Bear (−20%)</t>
  </si>
  <si>
    <t>-20%</t>
  </si>
  <si>
    <t>Mild Bear (−10%)</t>
  </si>
  <si>
    <t>-10%</t>
  </si>
  <si>
    <t>Base (0% — Today)</t>
  </si>
  <si>
    <t>+0%</t>
  </si>
  <si>
    <t>Bull (+15%)</t>
  </si>
  <si>
    <t>Strong Bull (+30%)</t>
  </si>
  <si>
    <t>STOCK-LEVEL SCENARIO VALUES</t>
  </si>
  <si>
    <t>Qty</t>
  </si>
  <si>
    <t>Today Val</t>
  </si>
  <si>
    <t>Bear −20%</t>
  </si>
  <si>
    <t>Mild −10%</t>
  </si>
  <si>
    <t>Base 0%</t>
  </si>
  <si>
    <t>Bull +15%</t>
  </si>
  <si>
    <t>S.Bull +30%</t>
  </si>
  <si>
    <t>Bear P&amp;L</t>
  </si>
  <si>
    <t>Base P&amp;L</t>
  </si>
  <si>
    <t>Bull P&amp;L</t>
  </si>
  <si>
    <t>S.Bull P&amp;L</t>
  </si>
  <si>
    <t>* LTCG at 12.5% on LT gains &gt;₹1.25L exemption. Estimates only — consult tax advisor.</t>
  </si>
  <si>
    <t>SECTOR BREAKDOWN  —  15 SUB-SECTORS</t>
  </si>
  <si>
    <t>Finance split: Banking · Consumer Lending · Housing Finance · Microfinance · Market Infrastructure</t>
  </si>
  <si>
    <t>Holdings</t>
  </si>
  <si>
    <t>Mkt Value (₹)</t>
  </si>
  <si>
    <t>Return %</t>
  </si>
  <si>
    <t>Portfolio Wt</t>
  </si>
  <si>
    <t xml:space="preserve">  · BANKING</t>
  </si>
  <si>
    <t xml:space="preserve">  · MICROFINANCE</t>
  </si>
  <si>
    <t xml:space="preserve">  · CONSUMER LENDING</t>
  </si>
  <si>
    <t xml:space="preserve">  · HOUSING FINANCE</t>
  </si>
  <si>
    <t xml:space="preserve">  · MARKET INFRASTRUCTURE</t>
  </si>
  <si>
    <t>TOTAL FINANCE EXPOSURE</t>
  </si>
  <si>
    <t>GRAND TOTAL</t>
  </si>
  <si>
    <t>💻  IT SECTOR  —  Sell-off Analysis &amp; Portfolio Positioning  |  6 March 2026</t>
  </si>
  <si>
    <t>Is the broad-based selling structural or panic?  Where does the portfolio sit?  What is the right action?</t>
  </si>
  <si>
    <t>CONFIRMED: Broad-based FII + Retail selling</t>
  </si>
  <si>
    <t>Nifty IT fell ~20% in February 2026 — worst monthly fall since March 2020. ₹5.7 lakh crore in market cap erased in under two weeks. FPIs pulled ₹10,956Cr from IT in just the first half of February. Total FII IT outflow in 2025: ₹74,698Cr — 8 months of sustained, deliberate sector deweight. FII holdings in IT at a 4-year low. Infosys FII stake: 30.68%, HCL Tech: 16.2%.
Retail also selling: domestic MF IT allocation at ~8% vs ~9% index weight — even MFs are underweight. DII buying has NOT absorbed the FII selling. This is both institutional AND retail — broad-based confirmed.</t>
  </si>
  <si>
    <t>THE TRIGGER — 'Anthropic Shock'</t>
  </si>
  <si>
    <t>Market participants are using the term 'Anthropic shock' for the Feb 2026 sell-off trigger: Anthropic enterprise AI workplace tools + Palantir releases intensified fears that generative AI automates Application Development &amp; Maintenance — the backbone of Indian IT billing. Infosys ADR fell 10% in a single US session, cascading to NSE.
The fear is real for the WRONG companies. T&amp;M billing models with 60%+ entry-level headcount (TCS, Infosys, Wipro, Tech Mahindra) ARE structurally at risk. AI does substitute junior code-level work billed per hour. Motilal Oswal estimates 9–12% of IT services revenue at risk over 3–4 years for these models.</t>
  </si>
  <si>
    <t>THE BIFURCATION — Who is wrongly caught</t>
  </si>
  <si>
    <t>DISRUPTED (right to sell):
  · TCS, Infosys, Wipro, Tech Mahindra
  · T&amp;M billing, 60%+ junior headcount, commoditised ADM work
  · TCS revenue/employee flat at ~$49K for a decade — AI compounds stagnation
  · These names absorb the 9–12% revenue risk directly
SAFE / BENEFICIARY (wrongly sold):
  · Persistent: SASVA platform generates NET-NEW AI revenue, not compressing existing. Microsoft Frontier Firm. 23 consecutive growth quarters. $674.5M TCV Q3 FY26.
  · eClerx: Domain KPO — capital markets trade lifecycle, compliance, financial analytics. Human judgment required. AI-resistant at the core.
  · Sagility: US healthcare BPO. AI processes more claims faster = Sagility wins MORE volume. 35.7% Q3 revenue growth.
The sell-off is painting all three with the same brush as TCS. That is the mispricing.</t>
  </si>
  <si>
    <t>SMART MONEY — What is actually happening</t>
  </si>
  <si>
    <t>After 6 weeks of sustained selling, selective accumulation has begun in platform/domain IT:
  · Persistent at 52x P/E vs historical 60–70x during growth phases — delivering 17%+ growth
  · eClerx: promoter completed ₹300Cr buyback at ₹4,800. CMP ₹3,222. Founder sees deep value.
  · Nifty IT select stocks at 8-year valuation lows despite fundamentally different earnings profiles
The divergence is becoming visible: generics (TCS, Infy) continue to be sold. Specialists (Persistent, eClerx) are finding institutional floors. This transition typically takes 2–3 quarters to fully play out in price.</t>
  </si>
  <si>
    <t>YOUR IT BOOK — 3 positions, 3 distinct sub-theses</t>
  </si>
  <si>
    <t>eClerx (held, ₹3,222):
  → Domain KPO. Capital markets operations, trade lifecycle, financial analytics. Requires domain judgment — AI cannot fully automate compliance calls, error resolution in trade execution, structured product analytics. Promoter at 54.5% bought back at ₹4,800 vs CMP ₹3,222. That 33% gap IS the signal. Add modestly — this is the clearest conviction buy in the IT space right now.
Persistent (40-share tracker, in loss):
  → SASVA platform, 23 quarters growth, Microsoft Frontier Firm, $674.5M TCV. The business is fine — the stock is caught in sector panic. Decision still stands: proper re-entry (sell tracker, buy 80–100 shares as a real 3% position) OR clean exit. Do NOT add to a tracker. Do NOT exit just because of this crash.
Sagility (planned addition with LT proceeds):
  → Healthcare BPO. AI accelerates their business, not disrupts it. Q3 FY26 revenue ₹1,971Cr, best ever. 35.7% YoY growth. FY26 guidance raised to 22.5% CC growth. ICICI Sec target ₹76 (+55%). The IT sell-off has kept Sagility near ₹50 — excellent entry window.</t>
  </si>
  <si>
    <t>ACTION SUMMARY</t>
  </si>
  <si>
    <t>eClerx:      HOLD + MODEST ADD at CMP ₹3,222. Promoter signal anchor at ₹4,800. No cut.
Persistent:  DECIDE — proper position or clean exit. Not a tracker. The crash widens the re-entry discount.
Sagility:    PROCEED with LT exit proceeds (~₹4.3L). IT sell-off = better entry than planned.
Nifty IT:    The panic is the opportunity for the RIGHT names. T&amp;M body shops are rightly sold. Platform + domain = mispriced in the sell-off. Your book is on the correct side.</t>
  </si>
  <si>
    <t>Sources: NSDL FII data, Business Standard, NSE sector data, Q3 FY26 earnings — Persistent, eClerx, Sagility  ·  6 Mar 2026</t>
  </si>
  <si>
    <t>⚡  IEX  —  Deep Dive  |  Accumulation Thesis  |  6 March 2026</t>
  </si>
  <si>
    <t>Position: INCREASING ALLOCATION  ·  Market is wrong on timing and magnitude of coupling risk  ·  Volume growth ignored  ·  Tainted regulator ignored</t>
  </si>
  <si>
    <t>CMP ~₹119  ·  52W High ₹215  ·  Down 44.6% from peak  ·  Mkt Cap ~₹10,500Cr  ·  9M FY26 PAT ₹363Cr  ·  Annualised P/E ~22x  ·  Div Yield ~2.5%  ·  Feb 2026 volume +30.4% YoY — HIGHEST EVER</t>
  </si>
  <si>
    <t>WHAT IEX ACTUALLY IS — The exchange franchise</t>
  </si>
  <si>
    <t>IEX is India's electricity exchange — the NSE of power. Not a generator, not a distributor. Pure marketplace. Revenue model: ₹0.02/unit transaction fee. 83% market share in spot electricity trading. Near-zero marginal cost of volume — every additional unit traded goes almost entirely to the bottom line. Operating leverage is extreme: 65%+ EBITDA margins. Network effects: liquidity attracts liquidity, the dominant exchange stays dominant.
The core thesis you're acting on: exchanges do not go to zero. India's power demand is structural — industrial growth, EV adoption, data center boom, cooling demand. More power traded = more IEX revenue. The regulatory overhang is real but the business underneath is sound and growing.</t>
  </si>
  <si>
    <t>THE COUPLING THREAT — Correctly understood</t>
  </si>
  <si>
    <t>Market coupling: CERC wants price discovery to shift from IEX's own auction to a central pooling algorithm across all exchanges. Under coupling, IEX loses the pricing advantage that keeps 83% of liquidity. Smaller exchanges (PXIL, HPX) could compete on equal terms. This is the real risk — not a fake scare.
The market IS right that coupling is negative for IEX. It is WRONG on three things:
  1. TIMING — coupling is minimum 18–24 months from March 2026
  2. MAGNITUDE — European data shows dominant exchanges retain 55–65% share post-coupling (not 33%)
  3. OFFSET — India's power market grows fast enough that absolute volume (and revenue) may not fall even at 60% share</t>
  </si>
  <si>
    <t>THE TAINTED REGULATOR — The most underpriced factor</t>
  </si>
  <si>
    <t>SEBI's October 2025 interim order: prima facie evidence that individuals linked to CERC officials used advance knowledge of the July 2025 coupling order to trade IEX put options — illegal gains of ₹173Cr from the resulting stock crash.
APTEL acknowledged: 'these allegations if found to be true would cast a cloud on the manner in which an independent regulator functions.'
Implications:
  · The coupling order is legally tainted. It will face rigorous judicial scrutiny on any final notification.
  · Political will to aggressively enforce a tainted order is reduced. MoP and CERC both know this is a liability.
  · IEX's legal team has maximum ammunition for any challenge to final regulations.
  · The SEBI insider trading case creates precedent that CERC exceeded its authority — relevant to any PIL or judicial review.
The market is treating the APTEL ruling as 'coupling confirmed.' It should be treating it as 'coupling faces maximum legal headwinds with a tainted genesis.'</t>
  </si>
  <si>
    <t>THE PILOT DATA — CERC's own evidence</t>
  </si>
  <si>
    <t>CERC ran a 4-month shadow pilot (Dec 2024–Mar 2025). Results:
  · DAM coupling welfare gain: ₹38Cr = 0.3% improvement
  · RTM coupling welfare gain: ₹72 lakh = 0.01% improvement
APTEL's own judgment questioned: lack of empirical evidence of market failure, no independent cost-benefit analysis, no stakeholder consensus. A regulator pushed through a massively disruptive policy — splitting liquidity, creating implementation complexity, destroying ₹5.7L Cr in market cap — for 0.3% efficiency gain.
This data point matters because: if/when coupling reaches judicial review, this evidence will be front and centre. It makes the reform legally and politically fragile.</t>
  </si>
  <si>
    <t>VOLUME DATA — The business the market is ignoring</t>
  </si>
  <si>
    <t>Q3 FY26 (Oct–Dec 2025):
  · Revenue ₹183.1Cr (+14% YoY)
  · PAT ₹119.1Cr (+11% YoY)
  · Electricity traded 34.1 BU (+12% YoY)
  · 9M FY26 PAT: ₹363Cr (+16.4% YoY)
  · Interim dividend: ₹1.5/share declared
January 2026: 13,050 MU — HIGHEST EVER monthly volume, +19.6% YoY
February 2026: 12,550 MU — +30.4% YoY
The business is not slowing down ahead of coupling. It is accelerating. Every month of delay in coupling implementation is a month of 12–30% volume growth compounding at near-zero marginal cost. The market has completely decoupled (pun intended) the stock price from the operating performance.</t>
  </si>
  <si>
    <t>VALUATION — The mispricing quantified</t>
  </si>
  <si>
    <t>Current: Mkt cap ~₹10,500Cr  ·  Annualised PAT ~₹490Cr  ·  P/E ~22x  ·  Div yield ~2.5%
Comparables:
  · NSE (unlisted): 30–40x P/E
  · BSE (listed): 35–40x P/E
  · MCX (commodity exchange): 28–32x P/E
  · Deutsche Börse post-coupling: re-rated to 28x once volume growth was confirmed
IEX at 22x P/E with faster volume growth than any listed Indian exchange, 65%+ EBITDA margin, zero capex, ~2.5% dividend yield — is trading at a 35–40% discount to exchange peers purely on coupling fear.
Fair value WITHOUT coupling: ₹200–220 (30–32x PAT)
Fair value WITH full base-case coupling (60% share, volume growth offsets): ₹150–175
Fair value catastrophic case (33% share, no growth): ₹40–50
At ₹119, the market is pricing something between base and catastrophic. Given coupling is 18+ months away and volume is +30% YoY, this is excessive pessimism.</t>
  </si>
  <si>
    <t>ACCUMULATION THESIS — Framing the position</t>
  </si>
  <si>
    <t>You are increasing allocation. Here is the framework for sizing:
  CORE THESIS: Own a growing monopoly franchise at a 44% discount from peak, at a P/E below all exchange peers, with a ~2.5% dividend yield while you wait for regulatory clarity.
  TIME HORIZON: 2–3 years. Coupling implementation + market share settling + volume growth acceleration = re-rating window.
  POSITION SIZING LOGIC:
  · Current tracker: 720 LT shares at ₹144.95 avg (~₹1.05L at CMP)
  · Accumulating: Each tranche should have a clear price anchor. ₹115–120 = strong accumulation zone. If falls to ₹100–105 on further panic = aggressive add zone.
  · Target weight: Given the risk profile (regulatory binary), 3–4% of portfolio is appropriate. Above 5% = concentrated regulatory risk.
  DIVIDEND SUPPORT: At ₹119 CMP and historical payout of ₹3–3.5/share annually, yield is ~~2.5%. You are paid to wait.
  CATALYST SEQUENCE:
  1. CERC publishes draft coupling regulations → stock may dip further → BUY
  2. Public comment period (60–90 days) → IEX + market participants challenge → legal uncertainty = opportunity
  3. Final regulations notified → stock has already priced worst case → relief rally
  4. Coupling goes live (2027–28) → volume data shows IEX retains 60%+ → full re-rating</t>
  </si>
  <si>
    <t>RISK MANAGEMENT — What changes the thesis</t>
  </si>
  <si>
    <t>THESIS BREAKERS — EXIT if any of these:
  ✗  CERC notifies final coupling regulations with IMMEDIATE implementation (no phasing)
  ✗  IEX market share falls below 60% within 6 months of coupling go-live
  ✗  Monthly volume growth turns negative for 2+ consecutive months (structural demand shift)
  ✗  IRDAI or MoP takes additional punitive action beyond coupling (fee caps, transaction taxes)
  ✗  Government mandates renewable energy to bypass exchanges (administrative allocation)
THESIS SUPPORTERS — HOLD/ADD if:
  ✓  Coupling delayed beyond Dec 2027 (most likely base case)
  ✓  IGX (gas exchange) + ICX (carbon exchange) revenue scaling materially
  ✓  Monthly volume continues 15%+ YoY growth
  ✓  Insider trading case leads to CERC leadership change
  ✓  Any analyst re-rating post coupling timeline clarity</t>
  </si>
  <si>
    <t>UPDATED POSITION VIEW — Replace exit with accumulation</t>
  </si>
  <si>
    <t>ORIGINAL PLAN (from consolidation sheet): Exit 720 LT tracker in Wave 2 once CERC draft published.
REVISED PLAN (based on your increasing allocation + deep dive):
  · Remove IEX from the Wave 2 exit list entirely.
  · 720 LT shares in loss = core position, NOT a tracker. Hold and build.
  · New purchases at ₹119 and below go in as fresh STCG buckets — separate from the LT book.
  · Target: 3–4% portfolio weight. Currently ~2% post Wave 1 trim.
  · Accumulation zones: ₹115–120 (current), ₹100–105 (panic add).
  · Collect ₹3–3.5/share dividend annually (~2.5% yield). Compounds the wait.
  · Exit trigger is thesis-break (see above), NOT coupling timeline.
The consolidation plan will be updated to reflect: IEX = HOLD + ACCUMULATE, removed from exit list.</t>
  </si>
  <si>
    <t>Sources: IEX Q3 FY26 earnings call, APTEL order Feb 13 2026, SEBI interim order Oct 2025, CERC pilot data, Bernstein/JM Financial notes, BSE/NSE exchange comparables  ·  6 Mar 2026</t>
  </si>
  <si>
    <t>IT SECTOR DEEP DIVE  —  AI DISRUPTION ANALYSIS</t>
  </si>
  <si>
    <t>The sector sell-off paints all IT with one brush. The opportunity is separating genuine AI beneficiaries from disrupted models.</t>
  </si>
  <si>
    <t>MACRO CONTEXT — WHAT IS ACTUALLY HAPPENING</t>
  </si>
  <si>
    <t xml:space="preserve">  1.  Nifty IT fell 6% in its worst session in ~6 years after Anthropic/Palantir releases — sector-wide indiscriminate sell-off.</t>
  </si>
  <si>
    <t xml:space="preserve">  2.  Motilal Oswal estimates AI eliminates 9–12% of IT services revenue over 3–4 years. But only ~20% of embedded effort is truly at risk.</t>
  </si>
  <si>
    <t xml:space="preserve">  3.  The DISRUPTED model: Time &amp; Material billing, 60%+ entry-level headcount. TCS revenue/employee flat at ~$49K for a decade.</t>
  </si>
  <si>
    <t xml:space="preserve">  4.  The SAFE model: Outcome-based, platform-led, domain-specialist. These companies are AI beneficiaries, not victims.</t>
  </si>
  <si>
    <t xml:space="preserve">  5.  Opportunity: Indiscriminate sell-off creates mispricing in names on the RIGHT side of the AI transition.</t>
  </si>
  <si>
    <t xml:space="preserve">  PERSISTENT  —  IN PORTFOLIO — SOLD AT LOSS — CONSIDER RE-ENTRY</t>
  </si>
  <si>
    <t>CMP: ₹4,709  |  Avg: ₹5,143</t>
  </si>
  <si>
    <t>Verdict: Best-positioned Indian IT name for the AI era. Sector sell-off is macro fear, not fundamental.</t>
  </si>
  <si>
    <t>🐂 Bull (55%)
Target: ₹6,500–7,000</t>
  </si>
  <si>
    <t>📊 Base (35%)
Target: ₹5,200–5,800</t>
  </si>
  <si>
    <t>🐻 Bear (10%)
Target: ₹3,800–4,200</t>
  </si>
  <si>
    <t>WHY IT WORKS — BULL CASE</t>
  </si>
  <si>
    <t xml:space="preserve">  ✓  23rd consecutive quarter of sequential revenue growth at 17.3% YoY — while peers are flat/declining.</t>
  </si>
  <si>
    <t xml:space="preserve">  ✓  Microsoft Frontier Firm recognition = highest-tier AI integration validation. Not a marketing badge.</t>
  </si>
  <si>
    <t xml:space="preserve">  ✓  SASVA AI platform generates NET NEW revenue by expanding scope of bids — not compressing existing economics.</t>
  </si>
  <si>
    <t xml:space="preserve">  ✓  Order booking $674.5M TCV / $501.9M ACV in Q3 FY26. Multi-year AI/cloud engagements.</t>
  </si>
  <si>
    <t xml:space="preserve">  ✓  Europe growing 37%+ YoY. Geographic diversification reducing US concentration.</t>
  </si>
  <si>
    <t xml:space="preserve">  ✓  Management targeting $2B revenue by FY27 at 18–19% CC CAGR — credible given 23-quarter track record.</t>
  </si>
  <si>
    <t xml:space="preserve">  ✓  Stock fell from ₹6,200 → ₹4,709 on sector rotation alone. Zero fundamental deterioration.</t>
  </si>
  <si>
    <t>KEY RISKS</t>
  </si>
  <si>
    <t xml:space="preserve">  ✗  High valuation premium vs peers — guidance cut would be punished severely.</t>
  </si>
  <si>
    <t xml:space="preserve">  ✗  US macro slowdown hits discretionary IT spending first.</t>
  </si>
  <si>
    <t xml:space="preserve">  ECLERX  —  IN PORTFOLIO — HOLD, CONSIDER MODEST ADD</t>
  </si>
  <si>
    <t>CMP: ₹3,222  |  Avg: ₹3,310</t>
  </si>
  <si>
    <t>Verdict: Domain-specialist KPO. Promoter bought back at ₹4,800. CMP ₹3,222. That gap is the signal.</t>
  </si>
  <si>
    <t>🐂 Bull (45%)
Target: ₹4,500–5,000</t>
  </si>
  <si>
    <t>📊 Base (40%)
Target: ₹3,600–4,000</t>
  </si>
  <si>
    <t>🐻 Bear (15%)
Target: ₹2,600–2,900</t>
  </si>
  <si>
    <t xml:space="preserve">  ✓  KPO not generic IT — Capital Markets operations, trade lifecycle, financial analytics. Domain judgment required.</t>
  </si>
  <si>
    <t xml:space="preserve">  ✓  Promoter at 54.52% post-buyback. Completed ₹300Cr buyback at ₹4,800 vs CMP ₹3,222 — promoter sees deep value.</t>
  </si>
  <si>
    <t xml:space="preserve">  ✓  Everest Group Leader + Star Performer in Capital Markets Operations PEAK Matrix 2025.</t>
  </si>
  <si>
    <t xml:space="preserve">  ✓  5 AI solutions built including GenAI360. Investing ahead of curve in domain-specific AI.</t>
  </si>
  <si>
    <t xml:space="preserve">  ✓  Client base = global investment banks. High switching cost, sticky multi-year relationships.</t>
  </si>
  <si>
    <t xml:space="preserve">  ✓  AI risk much lower than peers — domain judgment (trade errors, compliance) harder to fully automate.</t>
  </si>
  <si>
    <t xml:space="preserve">  ✗  Global bank client concentration — if banks build in-house AI capability, pressure on outsourced work.</t>
  </si>
  <si>
    <t xml:space="preserve">  ✗  US financial sector slowdown reduces transaction volumes.</t>
  </si>
  <si>
    <t xml:space="preserve">  SAGILITY  —  NOT IN PORTFOLIO — WATCHLIST / CONSIDER ENTRY</t>
  </si>
  <si>
    <t>CMP: ₹50  |  Not currently held</t>
  </si>
  <si>
    <t>Verdict: US healthcare BPO where AI ACCELERATES not disrupts. Pure-play on a $200B TAM growing structurally.</t>
  </si>
  <si>
    <t>🐂 Bull (50%)
Target: ₹75–85</t>
  </si>
  <si>
    <t>📊 Base (35%)
Target: ₹58–68</t>
  </si>
  <si>
    <t>🐻 Bear (15%)
Target: ₹35–40</t>
  </si>
  <si>
    <t xml:space="preserve">  ✓  Pure-play US healthcare BPO: claims processing, revenue cycle management, clinical documentation.</t>
  </si>
  <si>
    <t xml:space="preserve">  ✓  TAM = $200B US healthcare admin. US spends $5T on healthcare growing to $6.1T by 2028 at 5.5% CAGR.</t>
  </si>
  <si>
    <t xml:space="preserve">  ✓  AI HELPS not hurts: AI tools process more claims faster at lower cost — Sagility wins more volume, not less.</t>
  </si>
  <si>
    <t xml:space="preserve">  ✓  India cost advantage ~40% vs onshore delivery. India = 40–45% of global healthcare BPO.</t>
  </si>
  <si>
    <t xml:space="preserve">  ✓  Broadpath Healthcare acquisition (Jan 2025) adds provider-side to existing payer strength.</t>
  </si>
  <si>
    <t xml:space="preserve">  ✓  Motilal Oswal Buy rating on structural tailwinds. TTM revenue $773M at ~$2.57B mkt cap = 3.3x revenue.</t>
  </si>
  <si>
    <t xml:space="preserve">  ✗  US healthcare policy restructuring (ACA changes) = direct TAM risk. Key monitor.</t>
  </si>
  <si>
    <t xml:space="preserve">  ✗  EQT PE promoter (Sagility BV) — eventual exit overhang.</t>
  </si>
  <si>
    <t xml:space="preserve">  ✗  Client concentration in large US health insurers.</t>
  </si>
  <si>
    <t>MEDI ASSIST HEALTHCARE SERVICES — DEEP DIVE</t>
  </si>
  <si>
    <t>TPA market leader. MIT endowment signal. Bought on watchlist, building conviction position.</t>
  </si>
  <si>
    <t>INVESTMENT CONTEXT</t>
  </si>
  <si>
    <t xml:space="preserve">  1.  India health insurance penetration remains very low. TPA industry consolidates around the dominant player — Medi Assist.</t>
  </si>
  <si>
    <t xml:space="preserve">  2.  Paramount acquisition (closed July 2025) adds ₹4,000Cr health premiums under administration. Group segment market share now 36.6%, total industry ~23.6%.</t>
  </si>
  <si>
    <t xml:space="preserve">  3.  MIT Investment Management (MITIMCo) invested ₹198Cr via preferential allotment at ₹535/share. A $27.4B endowment doing a direct pref allotment in a mid-cap Indian TPA is a highly deliberate, research-heavy decision.</t>
  </si>
  <si>
    <t xml:space="preserve">  4.  MIT is a 10-year+ investor. They are underwater at ₹535 vs CMP ~₹340 — they will add or hold, not sell. This is a structural anchor, not a short-term trade.</t>
  </si>
  <si>
    <t xml:space="preserve">  5.  Bessemer India exited 15.7% stake in Aug 2025 at ₹577Cr — founding VC full exit is the primary overhang. Monitor whether other institutional holders follow or hold.</t>
  </si>
  <si>
    <t xml:space="preserve">  MEDIASSIST  —  IN PORTFOLIO — ACCUMULATE | TARGET 6–7%</t>
  </si>
  <si>
    <t>Invested</t>
  </si>
  <si>
    <t>Mkt Value</t>
  </si>
  <si>
    <t>Return</t>
  </si>
  <si>
    <t>700</t>
  </si>
  <si>
    <t>₹416.16</t>
  </si>
  <si>
    <t>₹340.50</t>
  </si>
  <si>
    <t>₹291,312</t>
  </si>
  <si>
    <t>₹238,350</t>
  </si>
  <si>
    <t>₹-52,962</t>
  </si>
  <si>
    <t>-18.2%</t>
  </si>
  <si>
    <t>0</t>
  </si>
  <si>
    <t xml:space="preserve">  📌  Stock is down on integration noise and one-offs. The underlying franchise is strengthening. MIT at ₹535 gives you a quality anchor well above your potential accumulation price.</t>
  </si>
  <si>
    <t>🐂 Bull (45%)
Target: ₹620–700</t>
  </si>
  <si>
    <t>📊 Base (35%)
Target: ₹420–480</t>
  </si>
  <si>
    <t>🐻 Bear (20%)
Target: ₹240–270</t>
  </si>
  <si>
    <t>BULL CASE — WHY THE THESIS IS INTACT</t>
  </si>
  <si>
    <t xml:space="preserve">  ✓  Market share in group segment grew from 23.5% (FY20) to 30%+ (FY24) before Paramount — structurally widening moat.</t>
  </si>
  <si>
    <t xml:space="preserve">  ✓  Post-Paramount: group segment share 36.6%, total industry ~23.6% of premiums under management. Market share is widening even as P&amp;L looks messy.</t>
  </si>
  <si>
    <t xml:space="preserve">  ✓  Fraud Detection Engine identified ~₹400Cr in fraud, waste and abuse for insurers in FY25. AI tool improving 1.5x YoY. Star Health — a direct competitor — chose to outsource claims to Medi Assist platform. That is the clearest possible validation of the tech moat.</t>
  </si>
  <si>
    <t xml:space="preserve">  ✓  Q3 FY26: 24% revenue growth. Company became DEBT-FREE from January 2026. Balance sheet is clean going into the growth phase.</t>
  </si>
  <si>
    <t xml:space="preserve">  ✓  PAT plunge of 86% YoY was due to exceptional items (Paramount cybersecurity costs + claim provisions). Adjusted 9M FY26 operating PAT was ₹46.3Cr — underlying business is fine.</t>
  </si>
  <si>
    <t xml:space="preserve">  ✓  On clean FY27 PAT estimate ₹90–100Cr, stock trades at 27–30x — reasonable for a dominant platform growing 20%+ with no debt.</t>
  </si>
  <si>
    <t xml:space="preserve">  ✓  Keynote Capital initiated with ₹707 target (from ₹468 at initiation). From ₹340 today = ~108% upside in the bull case.</t>
  </si>
  <si>
    <t>KEY RISKS — WHAT TO WATCH</t>
  </si>
  <si>
    <t xml:space="preserve">  ✗  ED search at Ranchi (alleged Ayushman Bharat irregularities) — single biggest tail risk. If escalates to formal charges or IRDAI licence action, business model directly threatened. Track quarterly.</t>
  </si>
  <si>
    <t xml:space="preserve">  ✗  Maharashtra GST department search at Mumbai TPA subsidiary office (Feb 2026) — proceedings ongoing.</t>
  </si>
  <si>
    <t xml:space="preserve">  ✗  Promoter holding only 4.62% — effectively no promoter skin in the game. Management continuity risk.</t>
  </si>
  <si>
    <t xml:space="preserve">  ✗  Employee costs surged 30.85% YoY to ₹103Cr = 43% of net sales. Paramount integration friction. Should normalise but needs 2 more quarters to confirm.</t>
  </si>
  <si>
    <t xml:space="preserve">  ✗  Bessemer full exit (Aug 2025) — watch whether other large institutional holders follow or hold firm.</t>
  </si>
  <si>
    <t xml:space="preserve">  ✗  In-house TPA risk: large insurers can always bring claims processing back in-house if they build AI capability.</t>
  </si>
  <si>
    <t>POSITION / ACTION PLAN</t>
  </si>
  <si>
    <t xml:space="preserve">  →  Tranche 1: Accumulate now at current levels (~₹340). You have entry advantage vs MIT at ₹535.</t>
  </si>
  <si>
    <t xml:space="preserve">  →  Tranche 2: After Q4 FY26 results (May 2026) — confirm one clean quarter post-Paramount integration.</t>
  </si>
  <si>
    <t xml:space="preserve">  →  Tranche 3: When ED proceedings formally close — removes the biggest tail risk discount from the stock.</t>
  </si>
  <si>
    <t xml:space="preserve">  →  Target allocation: 6–7% of portfolio. Current weight ~2.4% — meaningful room to build.</t>
  </si>
  <si>
    <t xml:space="preserve">  →  Key monitors: FII holding trend (watch for further exits), employee cost as % of revenue (should fall below 40%), ED/GST status.</t>
  </si>
  <si>
    <t>📈  MEDIASSIST  —  Technical Analysis  |  Chart Structure &amp; Entry Framework</t>
  </si>
  <si>
    <t>Yes it looks brutal. Here is exactly why, what the structure means, and what to watch for.</t>
  </si>
  <si>
    <t>ATH ₹716 (Sep 2024)  →  IPO listing ₹535 area  →  MIT entry ₹535 (Oct 2025)  →  52W low ₹385 (Apr 2025)  →  Brief recovery ₹594  →  Current ~₹340  →  YOUR AVG ₹416  →  Down 44% from ATH</t>
  </si>
  <si>
    <t>THE CHART STRUCTURE — Why it looks brutal</t>
  </si>
  <si>
    <t>MEDIASSIST listed January 2024 at ~₹635 (GMP-inflated open). The stock:
  · Peaked at ₹716 in Sep 2024 (pre-Paramount, clean earnings)
  · Fell to ₹415 in April 2025 — first 52W low — as Paramount integration costs hit
  · Recovered to ₹594 briefly in July 2025 on MIT investment news
  · Rolled over again on Bessemer exit (Aug 2025, ₹15.7% stake sold)
  · GST/ED news in Feb 2026 knocked it to ₹385 region
  · Current CMP ~₹340 (as of session) — BELOW the April 2025 52W low
Structure: A clean downtrend of LOWER HIGHS + LOWER LOWS since Sep 2024. Every rally has been sold. This is a stock in a confirmed intermediate downtrend. The 'brutal' read is technically correct — this is not a chart that has bottomed yet on pure price action alone.</t>
  </si>
  <si>
    <t>KEY PRICE LEVELS — The map</t>
  </si>
  <si>
    <t>RESISTANCE (overhead supply — where sellers emerge):
  ₹395–400  — recent breakdown level, now resistance. Stock was ₹396 on Feb 16.
  ₹415–420  — previous 52W low (Apr 2025), now resistance. Strong supply zone.
  ₹460–480  — Jan 2026 consolidation zone. Heavy volume traded here.
  ₹530–535  — MIT entry price. Psychological + technical resistance. Also Bessemer exit zone.
  ₹594      — July 2025 relief rally high. Major resistance.
SUPPORT (where buying may emerge):
  ₹320–330  — visible support from Dec 2023 / IPO range congestion zone
  ₹300–310  — round number + listing-day low region. Last line before price discovery.
  ₹280–290  — if ₹300 breaks, next meaningful technical floor
YOUR POSITION: avg ₹416 is now ABOVE the primary resistance cluster. You are underwater and the resistance overhead is dense.</t>
  </si>
  <si>
    <t>VOLUME &amp; SENTIMENT SIGNALS</t>
  </si>
  <si>
    <t>NEGATIVE signals visible in chart data:
  · Strong Sell on daily moving average signals (Investing.com technical rating)
  · Stock making new 52W lows through Feb-Mar 2026 — no climactic capitulation volume seen yet
  · Bessemer exit (largest institutional seller) completed Aug 2025 but overhang from other PE holders possible
  · Beta 0.84 — relatively low beta but stock has been a consistent underperformer vs index
POSITIVE signals:
  · MIT buying at ₹535 in Oct 2025 = fresh institutional accumulation AFTER Bessemer exit — smart money stepped in
  · 3 analyst Buy ratings, avg target ₹636 (+87% from ₹340) — zero Sell ratings
  · Promoter reclassification (Jan 2026) is housekeeping, not exit
  · Debt-free from Jan 2026 confirmed — balance sheet inflection
  · Revenue run-rate ₹960Cr+ annualised — business is growing despite chart pain</t>
  </si>
  <si>
    <t>WHAT WOULD A BOTTOM LOOK LIKE</t>
  </si>
  <si>
    <t>Bottoms in stocks with genuine business value tend to form when:
  1.  CAPITULATION VOLUME: A high-volume sell day (3–5x average) on bad news, then reversal. Has NOT happened yet — the decline has been grinding, not panicky. Capitulation would be a day where the stock drops 8–10% on news then reverses and closes near the high. Watch for this.
  2.  NEGATIVE NEWS ABSORBED: When ED + GST headlines no longer drop the stock. The stock is starting to show this — GST resolved (paid ₹4.83Cr), stock didn't crater on that news. IRDAI renewal (Mar 20) is the next binary.
  3.  TECHNICAL BASE: Minimum 4–6 weeks of sideways action in a tight range (₹320–360 zone) with declining volume. Stock is still in a slope — not basing yet.
  4.  CATALYST REVERSAL: Q4 FY26 results (May 2026) showing first clean quarter post-Paramount. That is the earliest a fundamental re-rating can begin.
Current assessment: NOT YET BOTTOMED on technicals. But approaching the zone where capitulation becomes possible.</t>
  </si>
  <si>
    <t>THE ACCUMULATION FRAMEWORK — Entry zones</t>
  </si>
  <si>
    <t>Given the fundamental thesis is intact (MIT at ₹535, platform moat, debt-free), the approach is:
ZONE 1 — ₹330–350 (current):  ACCUMULATE SMALL. You are already in at ₹416 avg. Additional purchases here are averaging down. Each tranche should be small (~10–15% of planned total add). This zone is still in downtrend but offers a fundamental margin of safety vs MIT's ₹535.
ZONE 2 — ₹300–320 (on panic):  ACCUMULATE MORE AGGRESSIVELY. If IRDAI news, Q3 results or macro triggers a flush to ₹300, that is the maximum pain zone and historically the best entry in fundamental dip-buys. If this level holds, it's the base.
ZONE 3 — ₹280 or below (catastrophe):  PAUSE. At this level, re-evaluate whether ED/IRDAI has escalated to something structural. Do not blindly average below ₹280 without fresh fundamental check.
CONFIRMED REVERSAL SIGNAL: Stock breaking and holding ABOVE ₹415–420 on meaningful volume (2x average) = technical trend change. That is when you add the largest tranche. Do not chase — wait for the trend to turn.</t>
  </si>
  <si>
    <t>UPDATED ACCUMULATION PLAN</t>
  </si>
  <si>
    <t>TRANCHE PLAN (revised for technical reality):
  T1 — ✅ IRDAI CONFIRMED (Mar 20 passed): Licence renewed — first binary cleared. This removes the biggest immediate tail risk and validates the accumulation case.
  T2 — ACCUMULATE NOW (post-IRDAI): Add ~₹1L at current levels (₹330–350). IRDAI cleared. This is the first tranche entry window. Use Zydus + Rainbow proceeds.
  T3 — Q4 FY26 RESULTS (May 2026): Add ~₹1.5L if results show (a) clean PAT recovery, (b) employee costs below 40% of revenue, (c) no new regulatory actions. This is the fundamental pivot quarter.
  T4 — ED CLOSURE (timeline unknown): Add ~₹1.5L on formal ED proceedings close. This removes the largest permanent risk discount.
  T5 — TECHNICAL BREAKOUT above ₹415: Add ~₹1L on trend confirmation. Biggest tranche reserved for when the chart confirms the fundamental thesis.
Target weight: 6–7% at full allocation. Currently 2.4%. The brutal chart is the OPPORTUNITY — but respect the downtrend. Do not front-run the bottom.</t>
  </si>
  <si>
    <t>Sources: TradingView MEDIASSIST chart, Investing.com technical ratings, IndMoney 52W data, Q3 FY26 filings  ·  6 Mar 2026  ·  Technical analysis is probabilistic — not a guarantee of levels</t>
  </si>
  <si>
    <t>CHAMBAL FERTILISERS — TAN PLAY DEEP DIVE</t>
  </si>
  <si>
    <t>NOT a generic fertiliser stock. A leveraged bet on India mining capex and infrastructure blasting demand.</t>
  </si>
  <si>
    <t xml:space="preserve">  1.  TAN (Technical Ammonium Nitrate) is the principal ingredient in commercial explosives used for mining and infrastructure blasting — not farm fertiliser.</t>
  </si>
  <si>
    <t xml:space="preserve">  2.  Coal India targets 1 billion MT coal production vs current ~600MT. ~63% of India TAN demand comes from coal mining alone. This is a multi-year structural demand story.</t>
  </si>
  <si>
    <t xml:space="preserve">  3.  India currently has only 4 domestic TAN producers. Market is structurally undersupplied. Chambal is the 5th entrant — entering with pricing power, not fighting for share.</t>
  </si>
  <si>
    <t xml:space="preserve">  4.  TAN has NO price cap, NO MRP, NO subsidy dependency. Margins structurally better than urea — a fundamental business model upgrade.</t>
  </si>
  <si>
    <t xml:space="preserve">  5.  L&amp;T is the EPC contractor. Timeline slip to April 2026 is contractor execution, not a financial or management failure.</t>
  </si>
  <si>
    <t xml:space="preserve">  CHAMBLFERT  —  IN PORTFOLIO — HOLD, WAIT FOR TAN REVENUE PRINT</t>
  </si>
  <si>
    <t>850</t>
  </si>
  <si>
    <t>₹472.37</t>
  </si>
  <si>
    <t>₹431.30</t>
  </si>
  <si>
    <t>₹401,519</t>
  </si>
  <si>
    <t>₹366,605</t>
  </si>
  <si>
    <t>₹-34,914</t>
  </si>
  <si>
    <t>-8.7%</t>
  </si>
  <si>
    <t xml:space="preserve">  📌  High conviction TAN play. Plant is 92%+ complete. First revenue in Q1/Q2 FY27 is the catalyst. Well-sized at 5–6% across accounts. Nothing to do but wait.</t>
  </si>
  <si>
    <t>🐂 Bull (50%)
Target: ₹620–680</t>
  </si>
  <si>
    <t>📊 Base (35%)
Target: ₹490–540</t>
  </si>
  <si>
    <t>🐻 Bear (15%)
Target: ₹340–370</t>
  </si>
  <si>
    <t>THE TAN THESIS — WHY THIS IS A DIFFERENT BUSINESS</t>
  </si>
  <si>
    <t xml:space="preserve">  ✓  TAN plant capacity: 240,000 tonnes. At 80% utilisation × ₹37,000/tonne midpoint = ~₹890Cr TAN revenue alone. Against current total revenue of ~₹18,000Cr — a meaningful margin-accretive addition.</t>
  </si>
  <si>
    <t xml:space="preserve">  ✓  CRISIL expects non-subsidy business including TAN to contribute over 25% to operating profitability in medium term — structural shift in earnings quality.</t>
  </si>
  <si>
    <t xml:space="preserve">  ✓  Balance sheet: net cash + liquid investments of ₹800Cr. Zero net debt going into a ₹1,645Cr capex project. This is the right way to do it.</t>
  </si>
  <si>
    <t xml:space="preserve">  ✓  Base urea business is performing: consolidated operating income +20% YoY in Q3 FY26, +27% for 9M. Net profit +10% and +17% respectively.</t>
  </si>
  <si>
    <t xml:space="preserve">  ✓  Subsidy receivables comfortable at ₹2,346Cr (Dec 2025). Nil net debt going into a major capex cycle.</t>
  </si>
  <si>
    <t xml:space="preserve">  ✓  Stock touched ₹654 in April 2025 on TAN expectations. Pulled back with the market. The thesis hasn't changed — the commissioning timeline slipped modestly.</t>
  </si>
  <si>
    <t xml:space="preserve">  ✗  Margin compression in urea: EBITDA margins 13.92% in Q3 FY26 vs 15.82% prior year. Input cost (gas prices, ammonia) volatility is the perennial risk.</t>
  </si>
  <si>
    <t xml:space="preserve">  ✗  Coal India + BHEL JV for 6.6 lakh tonne ammonium nitrate plant in Odisha — large future capacity, but 3–5 years away. Long-term competitive risk.</t>
  </si>
  <si>
    <t xml:space="preserve">  ✗  Russian TAN imports at competitive prices — a margin ceiling risk for domestic producers.</t>
  </si>
  <si>
    <t xml:space="preserve">  ✗  Any further delays to TAN commissioning beyond April 2026 would push the catalyst further out.</t>
  </si>
  <si>
    <t xml:space="preserve">  ✗  Government policy on mining/blasting regulation could affect TAN demand in extreme scenarios.</t>
  </si>
  <si>
    <t xml:space="preserve">  →  Current position: ~850 shares at ₹472 avg. Down ~9%. Well-sized at 5–6% across accounts.</t>
  </si>
  <si>
    <t xml:space="preserve">  →  Action: HOLD. No adds, no trims. Wait and watch mode.</t>
  </si>
  <si>
    <t xml:space="preserve">  →  Catalyst trigger: First TAN revenue appearing in Q1 FY27 (July) or Q2 FY27 (Oct) results.</t>
  </si>
  <si>
    <t xml:space="preserve">  →  If TAN ramp confirms at 70%+ utilisation within 2 quarters of commissioning, revisit sizing upward.</t>
  </si>
  <si>
    <t xml:space="preserve">  →  Exit trigger: Commissioning delayed beyond Q2 FY27 without clear explanation, or urea margin compression accelerates beyond 300bps.</t>
  </si>
  <si>
    <t>EID PARRY — HOLDING COMPANY DEEP DIVE</t>
  </si>
  <si>
    <t>NOT a sugar company. A deeply discounted proxy on Coromandel International with optionality on nutraceuticals and ethanol.</t>
  </si>
  <si>
    <t xml:space="preserve">  1.  EID Parry is a Murugappa Group holding company. ~90% of SOTP value is the 56% stake in Coromandel International (CRIN) — India's leading crop protection and fertiliser company.</t>
  </si>
  <si>
    <t xml:space="preserve">  2.  The holdco discount is the entire thesis: EID's market cap trades at 50–60% of the Coromandel stake value alone. You are buying ₹2 of Coromandel for ₹1, plus nutraceuticals and sugar for free.</t>
  </si>
  <si>
    <t xml:space="preserve">  3.  This discount has persisted for years and could persist for more years. The bet is that it NARROWS from ~55% to ~30% — that gap closure is the entire return.</t>
  </si>
  <si>
    <t xml:space="preserve">  4.  FII/FPI investor count nearly doubled (393 → 725) in the June 2025 quarter — institutional discovery is beginning. This is what starts to compress a holdco discount.</t>
  </si>
  <si>
    <t xml:space="preserve">  5.  Murugappa Group is conservative. Do not expect dramatic corporate actions. But even a dividend hike, buyback, or Coromandel re-rating can compress the discount meaningfully.</t>
  </si>
  <si>
    <t xml:space="preserve">  EIDPARRY  —  IN PORTFOLIO — HOLD, PATIENCE TRADE | TARGET UP TO 7% ON DIPS</t>
  </si>
  <si>
    <t>400</t>
  </si>
  <si>
    <t>₹876.63</t>
  </si>
  <si>
    <t>₹853.90</t>
  </si>
  <si>
    <t>₹350,652</t>
  </si>
  <si>
    <t>₹341,560</t>
  </si>
  <si>
    <t>₹-9,092</t>
  </si>
  <si>
    <t>-2.6%</t>
  </si>
  <si>
    <t>229</t>
  </si>
  <si>
    <t xml:space="preserve">  📌  A patience trade with asymmetric upside if the holdco discount narrows. Not adding aggressively. Would add more if it corrects further — target up to 7%.</t>
  </si>
  <si>
    <t>🐂 Bull (40%)
Target: ₹2,000–2,500</t>
  </si>
  <si>
    <t>📊 Base (45%)
Target: ₹1,100–1,400</t>
  </si>
  <si>
    <t>🐻 Bear (15%)
Target: ₹650–750</t>
  </si>
  <si>
    <t>THE HOLDCO THESIS — WHAT YOU ACTUALLY OWN</t>
  </si>
  <si>
    <t xml:space="preserve">  ✓  Coromandel International contributed 76% of consolidated revenue and 87% of consolidated net worth in FY25. This is the engine.</t>
  </si>
  <si>
    <t xml:space="preserve">  ✓  EID holds ~56% of Coromandel. At Coromandel's market cap, EID's stake is worth ₹31,000–38,000Cr. EID's own market cap is a fraction of that — extreme discount.</t>
  </si>
  <si>
    <t xml:space="preserve">  ✓  SOTP target of ₹2,500 based on ~70% of projected FY28 SOTP reflects discount narrowing from ~60% to ~30%. That single move delivers the return.</t>
  </si>
  <si>
    <t xml:space="preserve">  ✓  Net cash on EID's balance sheet ₹2,300Cr+. Clean balance sheet. Gradual Coromandel stake sales (0.51% in Feb 2026) are opportunistic for corporate purposes, not distressed selling.</t>
  </si>
  <si>
    <t xml:space="preserve">  ✓  Nutraceuticals business (spirulina, organic products, US exports) is small but has genuine IP and global market access — systematically undervalued and ignored.</t>
  </si>
  <si>
    <t xml:space="preserve">  ✓  Sugar/ethanol standalone business is loss-making with a ₹352Cr impairment — but this is already in the price. It's not what you own this for. Ethanol blending policy maturation is a free option.</t>
  </si>
  <si>
    <t xml:space="preserve">  ✓  FII count doubling in one quarter is a classic early signal of holdco discount re-rating. Institutions are doing the work.</t>
  </si>
  <si>
    <t xml:space="preserve">  ✗  Murugappa Group may never act on value unlock. Conservative promoters have let this discount persist for years.</t>
  </si>
  <si>
    <t xml:space="preserve">  ✗  Coromandel itself faces crop protection cycle risks — if CRIN de-rates, EID's SOTP collapses.</t>
  </si>
  <si>
    <t xml:space="preserve">  ✗  Gradual stake sales in Coromandel reduce the primary asset over time if not managed carefully.</t>
  </si>
  <si>
    <t xml:space="preserve">  ✗  Sugar business losses are a persistent drag on standalone earnings and sentiment.</t>
  </si>
  <si>
    <t xml:space="preserve">  ✗  Holdco discount can widen further in risk-off markets — not a low-volatility position.</t>
  </si>
  <si>
    <t xml:space="preserve">  →  Current position: ~400 shares at ₹877 avg. Roughly flat. Low-maintenance hold.</t>
  </si>
  <si>
    <t xml:space="preserve">  →  Action: HOLD. Not adding aggressively at current levels.</t>
  </si>
  <si>
    <t xml:space="preserve">  →  Add trigger: If stock corrects to ₹750–800 range, consider adding toward 7% target allocation.</t>
  </si>
  <si>
    <t xml:space="preserve">  →  Catalyst monitors: Any Murugappa corporate action (buyback/special dividend), Coromandel quarterly performance, further FII accumulation.</t>
  </si>
  <si>
    <t xml:space="preserve">  →  Exit trigger: If Coromandel faces a structural de-rating, re-evaluate SOTP — the discount thesis breaks if the underlying asset is impaired.</t>
  </si>
  <si>
    <t>UTKARSH SMALL FINANCE BANK — TURNAROUND DEEP DIVE</t>
  </si>
  <si>
    <t>Stress was real but geographically concentrated and now visibly inflecting. Smart money in at ₹14. You are too.</t>
  </si>
  <si>
    <t xml:space="preserve">  1.  Utkarsh SFB was hit by simultaneous stress in UP and Bihar MFI portfolios — over 70% of the JLG book originated from these two states. Classic geographic concentration risk playing out.</t>
  </si>
  <si>
    <t xml:space="preserve">  2.  The promoter "exit" is NOT a red flag — it was a deliberate rights issue renouncement to bring in specific high-quality institutional investors: Madhu Kela (Cohesion MK), India Capital Fund, Kotak Life Insurance, ICICI Prudential Life Insurance.</t>
  </si>
  <si>
    <t xml:space="preserve">  3.  Rights issue price was ₹14/share. That is your average cost. You are in at the same price as some of the best domestic institutional investors. That is a meaningful anchor.</t>
  </si>
  <si>
    <t xml:space="preserve">  4.  The key data point: JLG 1-to-90 DPD pool fell from ₹378Cr (Oct 2025) to below ₹50Cr (Jan 2026) — a near-complete clearing of early-stage stress in just 3 months. The inflection is visible and sharp.</t>
  </si>
  <si>
    <t xml:space="preserve">  5.  Capital adequacy ~20% post rights issue. The bank will not need to raise capital again for the foreseeable future. The loss cycle was front-loaded. Provisions are largely taken.</t>
  </si>
  <si>
    <t xml:space="preserve">  UTKARSHBNK  —  IN PORTFOLIO — ACCUMULATE | TARGET 3–4%</t>
  </si>
  <si>
    <t>22,000</t>
  </si>
  <si>
    <t>₹14.04</t>
  </si>
  <si>
    <t>₹13.14</t>
  </si>
  <si>
    <t>₹308,812</t>
  </si>
  <si>
    <t>₹289,080</t>
  </si>
  <si>
    <t>₹-19,732</t>
  </si>
  <si>
    <t>-6.4%</t>
  </si>
  <si>
    <t xml:space="preserve">  📌  Turnaround with strong data backing. Madhu Kela and Kotak Life are in at your price. The asymmetry is good — bear case requires multiple things to go wrong simultaneously.</t>
  </si>
  <si>
    <t>🐂 Bull (50%)
Target: ₹22–26</t>
  </si>
  <si>
    <t>📊 Base (35%)
Target: ₹17–19</t>
  </si>
  <si>
    <t>🐻 Bear (15%)
Target: ₹10–11</t>
  </si>
  <si>
    <t>THE TURNAROUND DATA — WHY THE INFLECTION IS REAL</t>
  </si>
  <si>
    <t xml:space="preserve">  ✓  JLG DPD pool: ₹378Cr (Oct 2025) → below ₹50Cr (Jan 2026). 87% reduction in 3 months. This is not gradual — it is a step-change clearing.</t>
  </si>
  <si>
    <t xml:space="preserve">  ✓  Monthly disbursements recovered: ₹800Cr (Oct 2025) → ₹1,200Cr+ (Jan 2026). 50% jump in 3 months. Even the JLG segment started growing again from January after quarters of contraction.</t>
  </si>
  <si>
    <t xml:space="preserve">  ✓  X-bucket collection efficiency at 99.5% in December 2025 — near-perfect on the performing book.</t>
  </si>
  <si>
    <t xml:space="preserve">  ✓  Book mix transformation: secured lending now ~50% of loan book vs ~10% in early years. JLG exposure down from ~90% (FY20) to ~33% now. This bank structurally cannot repeat the same stress.</t>
  </si>
  <si>
    <t xml:space="preserve">  ✓  Rights issue raised ₹950Cr at ₹14/share. Capital adequacy ~20%. No capital raise needed for foreseeable future.</t>
  </si>
  <si>
    <t xml:space="preserve">  ✓  Investor quality in rights issue: Madhu Kela (Cohesion MK), Kotak Life, ICICI Pru Life, India Capital Fund. These are not passive allocators — they did the work.</t>
  </si>
  <si>
    <t xml:space="preserve">  ✓  On normalised FY27 PAT of ₹180–200Cr at 1.2–1.5x book = ₹22–26 target. That is 65–100% return from current levels.</t>
  </si>
  <si>
    <t xml:space="preserve">  ✗  Second stress wave in UP/Bihar MFI — if rural income shock repeats, provisioning cycle restarts. Monitor quarterly collection efficiency.</t>
  </si>
  <si>
    <t xml:space="preserve">  ✗  RBI action on SFB licence conditions — regulatory risk always present for small finance banks.</t>
  </si>
  <si>
    <t xml:space="preserve">  ✗  Macro shock to rural incomes (bad monsoon, commodity price crash) — JLG book still 33% of loans.</t>
  </si>
  <si>
    <t xml:space="preserve">  ✗  Promoter stake dilution through rights has reduced their economic alignment — watch management action going forward.</t>
  </si>
  <si>
    <t xml:space="preserve">  ✗  Recovery slower than expected: if NPA formation in JLG lingers through H1 FY27, re-rating delays.</t>
  </si>
  <si>
    <t xml:space="preserve">  →  Current position: 22,000 shares at ₹14.03 avg. ~1.9% portfolio weight. Capital ~₹2.9L.</t>
  </si>
  <si>
    <t xml:space="preserve">  →  Target: 3–4% allocation. Significant room to add — currently well under target.</t>
  </si>
  <si>
    <t xml:space="preserve">  →  Accumulate in tranches. Each quarter of clean data (collection efficiency, DPD trends) justifies adding more.</t>
  </si>
  <si>
    <t xml:space="preserve">  →  Key monitoring cadence: monthly collection efficiency data, quarterly results for JLG NPA formation.</t>
  </si>
  <si>
    <t xml:space="preserve">  →  Bull case trigger to add more aggressively: Q4 FY26 showing first visible QoQ AUM growth on pre-write-off basis.</t>
  </si>
  <si>
    <t xml:space="preserve">  →  Exit trigger: second stress wave with DPD pool rising back above ₹150Cr, or RBI action on licence.</t>
  </si>
  <si>
    <t>📝  CHANGELOG  —  Append one row per session. LLMs: read col D (CHANGE) to understand delta without re-reading whole file.</t>
  </si>
  <si>
    <t>DATE</t>
  </si>
  <si>
    <t>SESSION TYPE</t>
  </si>
  <si>
    <t>CHANGES MADE</t>
  </si>
  <si>
    <t>STOCKS AFFECTED</t>
  </si>
  <si>
    <t>PRICES UPDATED</t>
  </si>
  <si>
    <t>NEXT ACTION</t>
  </si>
  <si>
    <t>5 Mar 2026</t>
  </si>
  <si>
    <t>Full session</t>
  </si>
  <si>
    <t>Initial portfolio annotation. 29 holdings mapped. Finance split to 5 sub-sectors. BAJFINANCE avg corrected to ₹660.</t>
  </si>
  <si>
    <t>All 29</t>
  </si>
  <si>
    <t>All CMPs as at 5 Mar 2026</t>
  </si>
  <si>
    <t>Consolidation to 25 stocks (Wave 1)</t>
  </si>
  <si>
    <t>6 Mar 2026</t>
  </si>
  <si>
    <t>Research + thesis update</t>
  </si>
  <si>
    <t>IEX: changed from TRIM to ACCUMULATE (coupling 18-24m away, vol +30% YoY, tainted CERC). Priority Research updated for top 5. Zydus exit validated. AstraMicro: thesis intact (demerger catalyst added). IT sector deep dive.</t>
  </si>
  <si>
    <t>IEX, ZYDUSLIFE, ASTRAMICRO, MEDIASSIST, CHAMBLFERT</t>
  </si>
  <si>
    <t>No price updates</t>
  </si>
  <si>
    <t>Execute Zydus exit. Monitor MEDIASSIST IRDAI renewal 20 Mar</t>
  </si>
  <si>
    <t>7 Mar 2026</t>
  </si>
  <si>
    <t>Infrastructure</t>
  </si>
  <si>
    <t>Added 📥 Price Hub (single CMP source, all sheets now formula-driven). Added 📡 LLM Context sheet. Added 📝 Changelog. Stripped Action Summary number cols (live data in LLM Context). Fixed P&amp;L formatting (green/red, no brackets). Wired Portfolio Brief, Scenario Analysis, Sector Analysis to Price Hub via VLOOKUP/SUMIF.</t>
  </si>
  <si>
    <t>All (formula wiring)</t>
  </si>
  <si>
    <t>No CMP changes</t>
  </si>
  <si>
    <t>Price update: open Price Hub, update col H for each stock</t>
  </si>
  <si>
    <t>→ Add date</t>
  </si>
</sst>
</file>

<file path=xl/styles.xml><?xml version="1.0" encoding="utf-8"?>
<styleSheet xmlns="http://schemas.openxmlformats.org/spreadsheetml/2006/main">
  <numFmts count="10">
    <numFmt numFmtId="0" formatCode="General"/>
    <numFmt numFmtId="59" formatCode="&quot;₹&quot;#,##0"/>
    <numFmt numFmtId="60" formatCode="0.0%;(0.0%);&quot;-&quot;"/>
    <numFmt numFmtId="61" formatCode="&quot;₹&quot;#,##0;&quot;(₹&quot;#,##0);&quot;-&quot;"/>
    <numFmt numFmtId="62" formatCode="&quot;₹&quot;#,##0.00"/>
    <numFmt numFmtId="63" formatCode="&quot;₹&quot;#,##0;&quot;-₹&quot;#,##0;&quot;-&quot;"/>
    <numFmt numFmtId="64" formatCode="0.0%;&quot;-&quot;0.0%;&quot;-&quot;"/>
    <numFmt numFmtId="65" formatCode="0.0%"/>
    <numFmt numFmtId="66" formatCode="#,##0;(#,##0)"/>
    <numFmt numFmtId="67" formatCode="0.0%;(0.0%)"/>
  </numFmts>
  <fonts count="84">
    <font>
      <sz val="11"/>
      <color indexed="8"/>
      <name val="Calibri"/>
    </font>
    <font>
      <sz val="12"/>
      <color indexed="8"/>
      <name val="Helvetica Neue"/>
    </font>
    <font>
      <sz val="15"/>
      <color indexed="8"/>
      <name val="Calibri"/>
    </font>
    <font>
      <sz val="11"/>
      <color indexed="9"/>
      <name val="Arial"/>
    </font>
    <font>
      <sz val="16"/>
      <color indexed="9"/>
      <name val="Arial"/>
    </font>
    <font>
      <sz val="9"/>
      <color indexed="14"/>
      <name val="Arial"/>
    </font>
    <font>
      <sz val="8"/>
      <color indexed="15"/>
      <name val="Arial"/>
    </font>
    <font>
      <sz val="12"/>
      <color indexed="9"/>
      <name val="Arial"/>
    </font>
    <font>
      <sz val="12"/>
      <color indexed="16"/>
      <name val="Arial"/>
    </font>
    <font>
      <sz val="9"/>
      <color indexed="9"/>
      <name val="Arial"/>
    </font>
    <font>
      <sz val="12"/>
      <color indexed="10"/>
      <name val="Arial"/>
    </font>
    <font>
      <sz val="9"/>
      <color indexed="10"/>
      <name val="Arial"/>
    </font>
    <font>
      <sz val="8"/>
      <color indexed="10"/>
      <name val="Arial"/>
    </font>
    <font>
      <sz val="8"/>
      <color indexed="17"/>
      <name val="Arial"/>
    </font>
    <font>
      <sz val="9"/>
      <color indexed="17"/>
      <name val="Arial"/>
    </font>
    <font>
      <sz val="7"/>
      <color indexed="21"/>
      <name val="Arial"/>
    </font>
    <font>
      <sz val="9"/>
      <color indexed="22"/>
      <name val="Arial"/>
    </font>
    <font>
      <sz val="10"/>
      <color indexed="10"/>
      <name val="Calibri"/>
    </font>
    <font>
      <sz val="9"/>
      <color indexed="24"/>
      <name val="Calibri"/>
    </font>
    <font>
      <sz val="9"/>
      <color indexed="25"/>
      <name val="Calibri"/>
    </font>
    <font>
      <sz val="9"/>
      <color indexed="27"/>
      <name val="Calibri"/>
    </font>
    <font>
      <sz val="9"/>
      <color indexed="29"/>
      <name val="Calibri"/>
    </font>
    <font>
      <sz val="9"/>
      <color indexed="30"/>
      <name val="Arial"/>
    </font>
    <font>
      <sz val="9"/>
      <color indexed="31"/>
      <name val="Calibri"/>
    </font>
    <font>
      <sz val="9"/>
      <color indexed="32"/>
      <name val="Calibri"/>
    </font>
    <font>
      <sz val="9"/>
      <color indexed="16"/>
      <name val="Arial"/>
    </font>
    <font>
      <sz val="9"/>
      <color indexed="33"/>
      <name val="Arial"/>
    </font>
    <font>
      <sz val="9"/>
      <color indexed="34"/>
      <name val="Arial"/>
    </font>
    <font>
      <sz val="9"/>
      <color indexed="35"/>
      <name val="Arial"/>
    </font>
    <font>
      <sz val="9"/>
      <color indexed="36"/>
      <name val="Calibri"/>
    </font>
    <font>
      <sz val="9"/>
      <color indexed="38"/>
      <name val="Calibri"/>
    </font>
    <font>
      <sz val="12"/>
      <color indexed="10"/>
      <name val="Calibri"/>
    </font>
    <font>
      <sz val="9"/>
      <color indexed="40"/>
      <name val="Calibri"/>
    </font>
    <font>
      <sz val="9"/>
      <color indexed="10"/>
      <name val="Calibri"/>
    </font>
    <font>
      <sz val="9"/>
      <color indexed="43"/>
      <name val="Calibri"/>
    </font>
    <font>
      <sz val="10"/>
      <color indexed="41"/>
      <name val="Calibri"/>
    </font>
    <font>
      <sz val="10"/>
      <color indexed="45"/>
      <name val="Calibri"/>
    </font>
    <font>
      <sz val="10"/>
      <color indexed="46"/>
      <name val="Calibri"/>
    </font>
    <font>
      <sz val="11"/>
      <color indexed="23"/>
      <name val="Calibri"/>
    </font>
    <font>
      <sz val="11"/>
      <color indexed="43"/>
      <name val="Calibri"/>
    </font>
    <font>
      <sz val="11"/>
      <color indexed="10"/>
      <name val="Calibri"/>
    </font>
    <font>
      <sz val="11"/>
      <color indexed="41"/>
      <name val="Calibri"/>
    </font>
    <font>
      <sz val="8"/>
      <color indexed="51"/>
      <name val="Calibri"/>
    </font>
    <font>
      <sz val="10"/>
      <color indexed="23"/>
      <name val="Calibri"/>
    </font>
    <font>
      <sz val="9"/>
      <color indexed="23"/>
      <name val="Calibri"/>
    </font>
    <font>
      <sz val="9"/>
      <color indexed="54"/>
      <name val="Calibri"/>
    </font>
    <font>
      <sz val="9"/>
      <color indexed="37"/>
      <name val="Calibri"/>
    </font>
    <font>
      <sz val="10"/>
      <color indexed="55"/>
      <name val="Calibri"/>
    </font>
    <font>
      <sz val="9"/>
      <color indexed="55"/>
      <name val="Calibri"/>
    </font>
    <font>
      <sz val="10"/>
      <color indexed="57"/>
      <name val="Calibri"/>
    </font>
    <font>
      <sz val="9"/>
      <color indexed="57"/>
      <name val="Calibri"/>
    </font>
    <font>
      <sz val="9"/>
      <color indexed="26"/>
      <name val="Calibri"/>
    </font>
    <font>
      <sz val="9"/>
      <color indexed="46"/>
      <name val="Calibri"/>
    </font>
    <font>
      <sz val="10"/>
      <color indexed="60"/>
      <name val="Calibri"/>
    </font>
    <font>
      <sz val="9"/>
      <color indexed="60"/>
      <name val="Calibri"/>
    </font>
    <font>
      <sz val="10"/>
      <color indexed="51"/>
      <name val="Calibri"/>
    </font>
    <font>
      <sz val="9"/>
      <color indexed="51"/>
      <name val="Calibri"/>
    </font>
    <font>
      <sz val="13"/>
      <color indexed="9"/>
      <name val="Arial"/>
    </font>
    <font>
      <sz val="10"/>
      <color indexed="9"/>
      <name val="Arial"/>
    </font>
    <font>
      <sz val="8"/>
      <color indexed="33"/>
      <name val="Arial"/>
    </font>
    <font>
      <sz val="8"/>
      <color indexed="9"/>
      <name val="Arial"/>
    </font>
    <font>
      <sz val="8"/>
      <color indexed="16"/>
      <name val="Arial"/>
    </font>
    <font>
      <sz val="8"/>
      <color rgb="ffbf360c"/>
      <name val="Arial"/>
    </font>
    <font>
      <sz val="8"/>
      <color rgb="ff4a148c"/>
      <name val="Arial"/>
    </font>
    <font>
      <sz val="8"/>
      <color indexed="14"/>
      <name val="Arial"/>
    </font>
    <font>
      <sz val="8"/>
      <color rgb="ff444444"/>
      <name val="Arial"/>
    </font>
    <font>
      <sz val="14"/>
      <color indexed="9"/>
      <name val="Arial"/>
    </font>
    <font>
      <sz val="11"/>
      <color indexed="16"/>
      <name val="Arial"/>
    </font>
    <font>
      <sz val="9"/>
      <color indexed="37"/>
      <name val="Arial"/>
    </font>
    <font>
      <sz val="9"/>
      <color rgb="ff1e3a5f"/>
      <name val="Arial"/>
    </font>
    <font>
      <sz val="11"/>
      <color indexed="33"/>
      <name val="Arial"/>
    </font>
    <font>
      <sz val="11"/>
      <color indexed="55"/>
      <name val="Arial"/>
    </font>
    <font>
      <sz val="11"/>
      <color indexed="23"/>
      <name val="Arial"/>
    </font>
    <font>
      <sz val="11"/>
      <color indexed="30"/>
      <name val="Arial"/>
    </font>
    <font>
      <sz val="9"/>
      <color rgb="ff0d6e2f"/>
      <name val="Arial"/>
    </font>
    <font>
      <sz val="9"/>
      <color rgb="ffc0392b"/>
      <name val="Arial"/>
    </font>
    <font>
      <sz val="10"/>
      <color indexed="30"/>
      <name val="Arial"/>
    </font>
    <font>
      <sz val="10"/>
      <color rgb="ffc0392b"/>
      <name val="Arial"/>
    </font>
    <font>
      <sz val="10"/>
      <color indexed="15"/>
      <name val="Arial"/>
    </font>
    <font>
      <sz val="10"/>
      <color indexed="16"/>
      <name val="Arial"/>
    </font>
    <font>
      <sz val="10"/>
      <color rgb="ff0d6e2f"/>
      <name val="Arial"/>
    </font>
    <font>
      <sz val="11"/>
      <color indexed="46"/>
      <name val="Calibri"/>
    </font>
    <font>
      <sz val="13"/>
      <color indexed="16"/>
      <name val="Arial"/>
    </font>
    <font>
      <sz val="11"/>
      <color rgb="ff4a148c"/>
      <name val="Arial"/>
    </font>
  </fonts>
  <fills count="32">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3"/>
        <bgColor auto="1"/>
      </patternFill>
    </fill>
    <fill>
      <patternFill patternType="solid">
        <fgColor indexed="26"/>
        <bgColor auto="1"/>
      </patternFill>
    </fill>
    <fill>
      <patternFill patternType="solid">
        <fgColor indexed="28"/>
        <bgColor auto="1"/>
      </patternFill>
    </fill>
    <fill>
      <patternFill patternType="solid">
        <fgColor indexed="31"/>
        <bgColor auto="1"/>
      </patternFill>
    </fill>
    <fill>
      <patternFill patternType="solid">
        <fgColor indexed="37"/>
        <bgColor auto="1"/>
      </patternFill>
    </fill>
    <fill>
      <patternFill patternType="solid">
        <fgColor indexed="39"/>
        <bgColor auto="1"/>
      </patternFill>
    </fill>
    <fill>
      <patternFill patternType="solid">
        <fgColor indexed="41"/>
        <bgColor auto="1"/>
      </patternFill>
    </fill>
    <fill>
      <patternFill patternType="solid">
        <fgColor indexed="44"/>
        <bgColor auto="1"/>
      </patternFill>
    </fill>
    <fill>
      <patternFill patternType="solid">
        <fgColor indexed="47"/>
        <bgColor auto="1"/>
      </patternFill>
    </fill>
    <fill>
      <patternFill patternType="solid">
        <fgColor indexed="49"/>
        <bgColor auto="1"/>
      </patternFill>
    </fill>
    <fill>
      <patternFill patternType="solid">
        <fgColor indexed="53"/>
        <bgColor auto="1"/>
      </patternFill>
    </fill>
    <fill>
      <patternFill patternType="solid">
        <fgColor indexed="56"/>
        <bgColor auto="1"/>
      </patternFill>
    </fill>
    <fill>
      <patternFill patternType="solid">
        <fgColor indexed="58"/>
        <bgColor auto="1"/>
      </patternFill>
    </fill>
    <fill>
      <patternFill patternType="solid">
        <fgColor indexed="59"/>
        <bgColor auto="1"/>
      </patternFill>
    </fill>
    <fill>
      <patternFill patternType="solid">
        <fgColor indexed="61"/>
        <bgColor auto="1"/>
      </patternFill>
    </fill>
    <fill>
      <patternFill patternType="solid">
        <fgColor indexed="62"/>
        <bgColor auto="1"/>
      </patternFill>
    </fill>
    <fill>
      <patternFill patternType="solid">
        <fgColor indexed="63"/>
        <bgColor auto="1"/>
      </patternFill>
    </fill>
    <fill>
      <patternFill patternType="solid">
        <fgColor rgb="fffff0f0"/>
        <bgColor auto="1"/>
      </patternFill>
    </fill>
    <fill>
      <patternFill patternType="solid">
        <fgColor rgb="ffe8f5e9"/>
        <bgColor auto="1"/>
      </patternFill>
    </fill>
    <fill>
      <patternFill patternType="solid">
        <fgColor rgb="fff3e7fb"/>
        <bgColor auto="1"/>
      </patternFill>
    </fill>
    <fill>
      <patternFill patternType="solid">
        <fgColor rgb="ffff971e"/>
        <bgColor auto="1"/>
      </patternFill>
    </fill>
    <fill>
      <patternFill patternType="solid">
        <fgColor rgb="fffef2f2"/>
        <bgColor auto="1"/>
      </patternFill>
    </fill>
    <fill>
      <patternFill patternType="solid">
        <fgColor rgb="fffffbeb"/>
        <bgColor auto="1"/>
      </patternFill>
    </fill>
    <fill>
      <patternFill patternType="solid">
        <fgColor rgb="fff1f5f9"/>
        <bgColor auto="1"/>
      </patternFill>
    </fill>
  </fills>
  <borders count="54">
    <border>
      <left/>
      <right/>
      <top/>
      <bottom/>
      <diagonal/>
    </border>
    <border>
      <left style="thin">
        <color indexed="11"/>
      </left>
      <right style="thin">
        <color indexed="12"/>
      </right>
      <top style="thin">
        <color indexed="11"/>
      </top>
      <bottom/>
      <diagonal/>
    </border>
    <border>
      <left style="thin">
        <color indexed="12"/>
      </left>
      <right style="thin">
        <color indexed="12"/>
      </right>
      <top style="thin">
        <color indexed="12"/>
      </top>
      <bottom style="thin">
        <color indexed="12"/>
      </bottom>
      <diagonal/>
    </border>
    <border>
      <left style="thin">
        <color indexed="12"/>
      </left>
      <right/>
      <top style="thin">
        <color indexed="11"/>
      </top>
      <bottom/>
      <diagonal/>
    </border>
    <border>
      <left/>
      <right style="thin">
        <color indexed="11"/>
      </right>
      <top style="thin">
        <color indexed="11"/>
      </top>
      <bottom/>
      <diagonal/>
    </border>
    <border>
      <left style="thin">
        <color indexed="11"/>
      </left>
      <right style="thin">
        <color indexed="12"/>
      </right>
      <top/>
      <bottom/>
      <diagonal/>
    </border>
    <border>
      <left style="thin">
        <color indexed="12"/>
      </left>
      <right/>
      <top/>
      <bottom/>
      <diagonal/>
    </border>
    <border>
      <left/>
      <right style="thin">
        <color indexed="11"/>
      </right>
      <top/>
      <bottom/>
      <diagonal/>
    </border>
    <border>
      <left style="thin">
        <color indexed="11"/>
      </left>
      <right/>
      <top/>
      <bottom/>
      <diagonal/>
    </border>
    <border>
      <left/>
      <right/>
      <top style="thin">
        <color indexed="12"/>
      </top>
      <bottom/>
      <diagonal/>
    </border>
    <border>
      <left/>
      <right/>
      <top/>
      <bottom/>
      <diagonal/>
    </border>
    <border>
      <left/>
      <right/>
      <top/>
      <bottom style="thin">
        <color indexed="12"/>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
      <left style="thin">
        <color indexed="11"/>
      </left>
      <right/>
      <top/>
      <bottom style="thin">
        <color indexed="11"/>
      </bottom>
      <diagonal/>
    </border>
    <border>
      <left/>
      <right/>
      <top/>
      <bottom style="thin">
        <color indexed="11"/>
      </bottom>
      <diagonal/>
    </border>
    <border>
      <left/>
      <right style="thin">
        <color indexed="11"/>
      </right>
      <top/>
      <bottom style="thin">
        <color indexed="11"/>
      </bottom>
      <diagonal/>
    </border>
    <border>
      <left style="thin">
        <color indexed="11"/>
      </left>
      <right/>
      <top style="thin">
        <color indexed="11"/>
      </top>
      <bottom style="thin">
        <color indexed="11"/>
      </bottom>
      <diagonal/>
    </border>
    <border>
      <left/>
      <right/>
      <top style="thin">
        <color indexed="11"/>
      </top>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bottom style="thin">
        <color indexed="42"/>
      </bottom>
      <diagonal/>
    </border>
    <border>
      <left style="thin">
        <color indexed="11"/>
      </left>
      <right style="thin">
        <color indexed="42"/>
      </right>
      <top style="thin">
        <color indexed="11"/>
      </top>
      <bottom style="thin">
        <color indexed="11"/>
      </bottom>
      <diagonal/>
    </border>
    <border>
      <left style="thin">
        <color indexed="42"/>
      </left>
      <right style="thin">
        <color indexed="42"/>
      </right>
      <top style="thin">
        <color indexed="42"/>
      </top>
      <bottom style="thin">
        <color indexed="42"/>
      </bottom>
      <diagonal/>
    </border>
    <border>
      <left style="thin">
        <color indexed="42"/>
      </left>
      <right style="medium">
        <color indexed="48"/>
      </right>
      <top style="thin">
        <color indexed="42"/>
      </top>
      <bottom style="thin">
        <color indexed="42"/>
      </bottom>
      <diagonal/>
    </border>
    <border>
      <left style="medium">
        <color indexed="48"/>
      </left>
      <right style="thin">
        <color indexed="42"/>
      </right>
      <top style="thin">
        <color indexed="42"/>
      </top>
      <bottom style="thin">
        <color indexed="42"/>
      </bottom>
      <diagonal/>
    </border>
    <border>
      <left/>
      <right/>
      <top style="thin">
        <color indexed="42"/>
      </top>
      <bottom/>
      <diagonal/>
    </border>
    <border>
      <left/>
      <right style="thin">
        <color indexed="11"/>
      </right>
      <top style="thin">
        <color indexed="42"/>
      </top>
      <bottom/>
      <diagonal/>
    </border>
    <border>
      <left/>
      <right/>
      <top/>
      <bottom style="thin">
        <color indexed="42"/>
      </bottom>
      <diagonal/>
    </border>
    <border>
      <left/>
      <right style="thin">
        <color indexed="11"/>
      </right>
      <top/>
      <bottom style="thin">
        <color indexed="42"/>
      </bottom>
      <diagonal/>
    </border>
    <border>
      <left style="thin">
        <color indexed="11"/>
      </left>
      <right style="thin">
        <color indexed="11"/>
      </right>
      <top/>
      <bottom style="thin">
        <color indexed="52"/>
      </bottom>
      <diagonal/>
    </border>
    <border>
      <left style="thin">
        <color indexed="11"/>
      </left>
      <right style="thin">
        <color indexed="52"/>
      </right>
      <top style="thin">
        <color indexed="11"/>
      </top>
      <bottom style="thin">
        <color indexed="11"/>
      </bottom>
      <diagonal/>
    </border>
    <border>
      <left style="thin">
        <color indexed="52"/>
      </left>
      <right style="thin">
        <color indexed="52"/>
      </right>
      <top style="thin">
        <color indexed="52"/>
      </top>
      <bottom style="thin">
        <color indexed="52"/>
      </bottom>
      <diagonal/>
    </border>
    <border>
      <left/>
      <right/>
      <top style="thin">
        <color indexed="52"/>
      </top>
      <bottom/>
      <diagonal/>
    </border>
    <border>
      <left/>
      <right style="thin">
        <color indexed="11"/>
      </right>
      <top style="thin">
        <color indexed="52"/>
      </top>
      <bottom/>
      <diagonal/>
    </border>
    <border>
      <left/>
      <right/>
      <top/>
      <bottom style="thin">
        <color indexed="52"/>
      </bottom>
      <diagonal/>
    </border>
    <border>
      <left/>
      <right style="thin">
        <color indexed="11"/>
      </right>
      <top/>
      <bottom style="thin">
        <color indexed="52"/>
      </bottom>
      <diagonal/>
    </border>
    <border>
      <left/>
      <right style="thin">
        <color indexed="11"/>
      </right>
      <top style="thin">
        <color indexed="12"/>
      </top>
      <bottom/>
      <diagonal/>
    </border>
    <border>
      <left/>
      <right style="thin">
        <color indexed="11"/>
      </right>
      <top/>
      <bottom style="thin">
        <color indexed="12"/>
      </bottom>
      <diagonal/>
    </border>
    <border>
      <left style="thin">
        <color indexed="11"/>
      </left>
      <right style="thin">
        <color indexed="12"/>
      </right>
      <top/>
      <bottom style="thin">
        <color indexed="11"/>
      </bottom>
      <diagonal/>
    </border>
    <border>
      <left/>
      <right style="thin">
        <color indexed="11"/>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11"/>
      </left>
      <right style="thin">
        <color indexed="11"/>
      </right>
      <top/>
      <bottom/>
      <diagonal/>
    </border>
    <border>
      <left/>
      <right/>
      <top/>
      <bottom style="thin">
        <color rgb="ffcbd5e1"/>
      </bottom>
      <diagonal/>
    </border>
    <border>
      <left style="thin">
        <color indexed="11"/>
      </left>
      <right style="thin">
        <color rgb="ffcbd5e1"/>
      </right>
      <top style="thin">
        <color indexed="11"/>
      </top>
      <bottom style="thin">
        <color indexed="11"/>
      </bottom>
      <diagonal/>
    </border>
    <border>
      <left style="thin">
        <color rgb="ffcbd5e1"/>
      </left>
      <right style="thin">
        <color rgb="ffcbd5e1"/>
      </right>
      <top style="thin">
        <color rgb="ffcbd5e1"/>
      </top>
      <bottom style="thin">
        <color rgb="ffcbd5e1"/>
      </bottom>
      <diagonal/>
    </border>
    <border>
      <left style="thin">
        <color rgb="ffcbd5e1"/>
      </left>
      <right style="thin">
        <color indexed="11"/>
      </right>
      <top/>
      <bottom style="thin">
        <color indexed="11"/>
      </bottom>
      <diagonal/>
    </border>
    <border>
      <left style="thin">
        <color indexed="11"/>
      </left>
      <right style="thin">
        <color indexed="11"/>
      </right>
      <top/>
      <bottom style="thin">
        <color indexed="11"/>
      </bottom>
      <diagonal/>
    </border>
    <border>
      <left style="thin">
        <color rgb="ffcbd5e1"/>
      </left>
      <right style="thin">
        <color indexed="11"/>
      </right>
      <top style="thin">
        <color indexed="11"/>
      </top>
      <bottom style="thin">
        <color indexed="11"/>
      </bottom>
      <diagonal/>
    </border>
    <border>
      <left style="thin">
        <color indexed="11"/>
      </left>
      <right style="thin">
        <color indexed="11"/>
      </right>
      <top style="thin">
        <color rgb="ffcbd5e1"/>
      </top>
      <bottom/>
      <diagonal/>
    </border>
    <border>
      <left style="thin">
        <color indexed="11"/>
      </left>
      <right style="thin">
        <color indexed="11"/>
      </right>
      <top style="thin">
        <color indexed="11"/>
      </top>
      <bottom/>
      <diagonal/>
    </border>
    <border>
      <left/>
      <right style="thin">
        <color indexed="11"/>
      </right>
      <top style="thin">
        <color indexed="11"/>
      </top>
      <bottom style="thin">
        <color indexed="11"/>
      </bottom>
      <diagonal/>
    </border>
    <border>
      <left style="thin">
        <color indexed="52"/>
      </left>
      <right style="thin">
        <color indexed="11"/>
      </right>
      <top style="thin">
        <color indexed="11"/>
      </top>
      <bottom style="thin">
        <color indexed="11"/>
      </bottom>
      <diagonal/>
    </border>
    <border>
      <left style="thin">
        <color indexed="11"/>
      </left>
      <right style="thin">
        <color indexed="11"/>
      </right>
      <top style="thin">
        <color indexed="52"/>
      </top>
      <bottom style="thin">
        <color indexed="11"/>
      </bottom>
      <diagonal/>
    </border>
  </borders>
  <cellStyleXfs count="1">
    <xf numFmtId="0" fontId="0" applyNumberFormat="0" applyFont="1" applyFill="0" applyBorder="0" applyAlignment="1" applyProtection="0">
      <alignment vertical="bottom"/>
    </xf>
  </cellStyleXfs>
  <cellXfs count="51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1" fontId="3" fillId="2" borderId="1" applyNumberFormat="1" applyFont="1" applyFill="1" applyBorder="1" applyAlignment="1" applyProtection="0">
      <alignment vertical="bottom"/>
    </xf>
    <xf numFmtId="49" fontId="4" fillId="3" borderId="2" applyNumberFormat="1" applyFont="1" applyFill="1" applyBorder="1" applyAlignment="1" applyProtection="0">
      <alignment horizontal="center" vertical="center" wrapText="1"/>
    </xf>
    <xf numFmtId="1" fontId="4" fillId="3" borderId="2" applyNumberFormat="1" applyFont="1" applyFill="1" applyBorder="1" applyAlignment="1" applyProtection="0">
      <alignment horizontal="center" vertical="center" wrapText="1"/>
    </xf>
    <xf numFmtId="1" fontId="3" fillId="2" borderId="3" applyNumberFormat="1" applyFont="1" applyFill="1" applyBorder="1" applyAlignment="1" applyProtection="0">
      <alignment vertical="bottom"/>
    </xf>
    <xf numFmtId="1" fontId="3" fillId="2" borderId="4" applyNumberFormat="1" applyFont="1" applyFill="1" applyBorder="1" applyAlignment="1" applyProtection="0">
      <alignment vertical="bottom"/>
    </xf>
    <xf numFmtId="1" fontId="3" fillId="2" borderId="5" applyNumberFormat="1" applyFont="1" applyFill="1" applyBorder="1" applyAlignment="1" applyProtection="0">
      <alignment vertical="bottom"/>
    </xf>
    <xf numFmtId="49" fontId="5" fillId="3" borderId="2" applyNumberFormat="1" applyFont="1" applyFill="1" applyBorder="1" applyAlignment="1" applyProtection="0">
      <alignment horizontal="center" vertical="center" wrapText="1"/>
    </xf>
    <xf numFmtId="1" fontId="5" fillId="3" borderId="2" applyNumberFormat="1" applyFont="1" applyFill="1" applyBorder="1" applyAlignment="1" applyProtection="0">
      <alignment horizontal="center" vertical="center" wrapText="1"/>
    </xf>
    <xf numFmtId="1" fontId="3" fillId="2" borderId="6" applyNumberFormat="1" applyFont="1" applyFill="1" applyBorder="1" applyAlignment="1" applyProtection="0">
      <alignment vertical="bottom"/>
    </xf>
    <xf numFmtId="1" fontId="3" fillId="2" borderId="7" applyNumberFormat="1" applyFont="1" applyFill="1" applyBorder="1" applyAlignment="1" applyProtection="0">
      <alignment vertical="bottom"/>
    </xf>
    <xf numFmtId="1" fontId="3" fillId="2" borderId="8" applyNumberFormat="1" applyFont="1" applyFill="1" applyBorder="1" applyAlignment="1" applyProtection="0">
      <alignment vertical="bottom"/>
    </xf>
    <xf numFmtId="1" fontId="3" fillId="2" borderId="9" applyNumberFormat="1" applyFont="1" applyFill="1" applyBorder="1" applyAlignment="1" applyProtection="0">
      <alignment vertical="bottom"/>
    </xf>
    <xf numFmtId="1" fontId="3" fillId="2" borderId="10" applyNumberFormat="1" applyFont="1" applyFill="1" applyBorder="1" applyAlignment="1" applyProtection="0">
      <alignment vertical="bottom"/>
    </xf>
    <xf numFmtId="49" fontId="6" fillId="2" borderId="10" applyNumberFormat="1" applyFont="1" applyFill="1" applyBorder="1" applyAlignment="1" applyProtection="0">
      <alignment horizontal="center" vertical="center"/>
    </xf>
    <xf numFmtId="1" fontId="6" fillId="2" borderId="10" applyNumberFormat="1" applyFont="1" applyFill="1" applyBorder="1" applyAlignment="1" applyProtection="0">
      <alignment horizontal="center" vertical="center"/>
    </xf>
    <xf numFmtId="59" fontId="7" fillId="2" borderId="10" applyNumberFormat="1" applyFont="1" applyFill="1" applyBorder="1" applyAlignment="1" applyProtection="0">
      <alignment horizontal="center" vertical="center"/>
    </xf>
    <xf numFmtId="59" fontId="8" fillId="2" borderId="10" applyNumberFormat="1" applyFont="1" applyFill="1" applyBorder="1" applyAlignment="1" applyProtection="0">
      <alignment horizontal="center" vertical="center"/>
    </xf>
    <xf numFmtId="49" fontId="8" fillId="2" borderId="10" applyNumberFormat="1" applyFont="1" applyFill="1" applyBorder="1" applyAlignment="1" applyProtection="0">
      <alignment horizontal="center" vertical="center"/>
    </xf>
    <xf numFmtId="60" fontId="8" fillId="2" borderId="10" applyNumberFormat="1" applyFont="1" applyFill="1" applyBorder="1" applyAlignment="1" applyProtection="0">
      <alignment horizontal="center" vertical="center"/>
    </xf>
    <xf numFmtId="61" fontId="3" fillId="2" borderId="10" applyNumberFormat="1" applyFont="1" applyFill="1" applyBorder="1" applyAlignment="1" applyProtection="0">
      <alignment vertical="bottom"/>
    </xf>
    <xf numFmtId="1" fontId="9" fillId="2" borderId="8" applyNumberFormat="1" applyFont="1" applyFill="1" applyBorder="1" applyAlignment="1" applyProtection="0">
      <alignment vertical="bottom"/>
    </xf>
    <xf numFmtId="1" fontId="9" fillId="2" borderId="11" applyNumberFormat="1" applyFont="1" applyFill="1" applyBorder="1" applyAlignment="1" applyProtection="0">
      <alignment vertical="bottom"/>
    </xf>
    <xf numFmtId="1" fontId="9" fillId="2" borderId="5" applyNumberFormat="1" applyFont="1" applyFill="1" applyBorder="1" applyAlignment="1" applyProtection="0">
      <alignment vertical="bottom"/>
    </xf>
    <xf numFmtId="49" fontId="10" fillId="4" borderId="2" applyNumberFormat="1" applyFont="1" applyFill="1" applyBorder="1" applyAlignment="1" applyProtection="0">
      <alignment horizontal="left" vertical="center" wrapText="1"/>
    </xf>
    <xf numFmtId="1" fontId="10" fillId="4" borderId="2" applyNumberFormat="1" applyFont="1" applyFill="1" applyBorder="1" applyAlignment="1" applyProtection="0">
      <alignment horizontal="left" vertical="center" wrapText="1"/>
    </xf>
    <xf numFmtId="1" fontId="9" fillId="2" borderId="12" applyNumberFormat="1" applyFont="1" applyFill="1" applyBorder="1" applyAlignment="1" applyProtection="0">
      <alignment vertical="bottom"/>
    </xf>
    <xf numFmtId="1" fontId="9" fillId="2" borderId="13" applyNumberFormat="1" applyFont="1" applyFill="1" applyBorder="1" applyAlignment="1" applyProtection="0">
      <alignment vertical="bottom"/>
    </xf>
    <xf numFmtId="1" fontId="9" fillId="2" borderId="14" applyNumberFormat="1" applyFont="1" applyFill="1" applyBorder="1" applyAlignment="1" applyProtection="0">
      <alignment vertical="bottom"/>
    </xf>
    <xf numFmtId="1" fontId="9" fillId="2" borderId="2" applyNumberFormat="1" applyFont="1" applyFill="1" applyBorder="1" applyAlignment="1" applyProtection="0">
      <alignment vertical="bottom"/>
    </xf>
    <xf numFmtId="1" fontId="9" fillId="3" borderId="6" applyNumberFormat="1" applyFont="1" applyFill="1" applyBorder="1" applyAlignment="1" applyProtection="0">
      <alignment vertical="bottom"/>
    </xf>
    <xf numFmtId="1" fontId="9" fillId="3" borderId="7" applyNumberFormat="1" applyFont="1" applyFill="1" applyBorder="1" applyAlignment="1" applyProtection="0">
      <alignment vertical="bottom"/>
    </xf>
    <xf numFmtId="49" fontId="11" fillId="5" borderId="2" applyNumberFormat="1" applyFont="1" applyFill="1" applyBorder="1" applyAlignment="1" applyProtection="0">
      <alignment horizontal="left" vertical="center" wrapText="1"/>
    </xf>
    <xf numFmtId="1" fontId="11" fillId="5" borderId="2" applyNumberFormat="1" applyFont="1" applyFill="1" applyBorder="1" applyAlignment="1" applyProtection="0">
      <alignment horizontal="left" vertical="center" wrapText="1"/>
    </xf>
    <xf numFmtId="49" fontId="9" fillId="2" borderId="2" applyNumberFormat="1" applyFont="1" applyFill="1" applyBorder="1" applyAlignment="1" applyProtection="0">
      <alignment vertical="bottom"/>
    </xf>
    <xf numFmtId="49" fontId="12" fillId="6" borderId="2" applyNumberFormat="1" applyFont="1" applyFill="1" applyBorder="1" applyAlignment="1" applyProtection="0">
      <alignment horizontal="left" vertical="center" wrapText="1"/>
    </xf>
    <xf numFmtId="49" fontId="12" fillId="6" borderId="2" applyNumberFormat="1" applyFont="1" applyFill="1" applyBorder="1" applyAlignment="1" applyProtection="0">
      <alignment horizontal="center" vertical="center" wrapText="1"/>
    </xf>
    <xf numFmtId="49" fontId="12" fillId="6" borderId="12" applyNumberFormat="1" applyFont="1" applyFill="1" applyBorder="1" applyAlignment="1" applyProtection="0">
      <alignment horizontal="left" vertical="center" wrapText="1"/>
    </xf>
    <xf numFmtId="49" fontId="13" fillId="7" borderId="2" applyNumberFormat="1" applyFont="1" applyFill="1" applyBorder="1" applyAlignment="1" applyProtection="0">
      <alignment horizontal="left" vertical="center" wrapText="1"/>
    </xf>
    <xf numFmtId="49" fontId="14" fillId="2" borderId="2" applyNumberFormat="1" applyFont="1" applyFill="1" applyBorder="1" applyAlignment="1" applyProtection="0">
      <alignment horizontal="left" vertical="center" wrapText="1"/>
    </xf>
    <xf numFmtId="49" fontId="15" fillId="2" borderId="2" applyNumberFormat="1" applyFont="1" applyFill="1" applyBorder="1" applyAlignment="1" applyProtection="0">
      <alignment horizontal="center" vertical="center" wrapText="1"/>
    </xf>
    <xf numFmtId="49" fontId="16" fillId="2" borderId="12" applyNumberFormat="1" applyFont="1" applyFill="1" applyBorder="1" applyAlignment="1" applyProtection="0">
      <alignment horizontal="left" vertical="center" wrapText="1"/>
    </xf>
    <xf numFmtId="0" fontId="0" fillId="2" borderId="8" applyNumberFormat="0" applyFont="1" applyFill="1" applyBorder="1" applyAlignment="1" applyProtection="0">
      <alignment vertical="bottom"/>
    </xf>
    <xf numFmtId="49" fontId="17" fillId="8" borderId="9" applyNumberFormat="1" applyFont="1" applyFill="1" applyBorder="1" applyAlignment="1" applyProtection="0">
      <alignment horizontal="left" vertical="center"/>
    </xf>
    <xf numFmtId="49" fontId="18" fillId="5" borderId="9" applyNumberFormat="1" applyFont="1" applyFill="1" applyBorder="1" applyAlignment="1" applyProtection="0">
      <alignment horizontal="center" vertical="center"/>
    </xf>
    <xf numFmtId="49" fontId="19" fillId="5" borderId="9" applyNumberFormat="1" applyFont="1" applyFill="1" applyBorder="1" applyAlignment="1" applyProtection="0">
      <alignment horizontal="left" vertical="center" wrapText="1"/>
    </xf>
    <xf numFmtId="0" fontId="0" fillId="2" borderId="9" applyNumberFormat="0" applyFont="1" applyFill="1" applyBorder="1" applyAlignment="1" applyProtection="0">
      <alignment vertical="bottom"/>
    </xf>
    <xf numFmtId="0" fontId="0" fillId="2" borderId="10"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49" fontId="17" fillId="9" borderId="11" applyNumberFormat="1" applyFont="1" applyFill="1" applyBorder="1" applyAlignment="1" applyProtection="0">
      <alignment horizontal="left" vertical="center"/>
    </xf>
    <xf numFmtId="49" fontId="20" fillId="10" borderId="11" applyNumberFormat="1" applyFont="1" applyFill="1" applyBorder="1" applyAlignment="1" applyProtection="0">
      <alignment horizontal="center" vertical="center"/>
    </xf>
    <xf numFmtId="49" fontId="21" fillId="10" borderId="11" applyNumberFormat="1" applyFont="1" applyFill="1" applyBorder="1" applyAlignment="1" applyProtection="0">
      <alignment horizontal="left" vertical="center" wrapText="1"/>
    </xf>
    <xf numFmtId="0" fontId="0" fillId="2" borderId="11" applyNumberFormat="0" applyFont="1" applyFill="1" applyBorder="1" applyAlignment="1" applyProtection="0">
      <alignment vertical="bottom"/>
    </xf>
    <xf numFmtId="49" fontId="9" fillId="3" borderId="2" applyNumberFormat="1" applyFont="1" applyFill="1" applyBorder="1" applyAlignment="1" applyProtection="0">
      <alignment horizontal="left" vertical="center" wrapText="1"/>
    </xf>
    <xf numFmtId="49" fontId="15" fillId="3" borderId="2" applyNumberFormat="1" applyFont="1" applyFill="1" applyBorder="1" applyAlignment="1" applyProtection="0">
      <alignment horizontal="center" vertical="center" wrapText="1"/>
    </xf>
    <xf numFmtId="49" fontId="16" fillId="3" borderId="12" applyNumberFormat="1" applyFont="1" applyFill="1" applyBorder="1" applyAlignment="1" applyProtection="0">
      <alignment horizontal="left" vertical="center" wrapText="1"/>
    </xf>
    <xf numFmtId="49" fontId="9" fillId="2" borderId="2" applyNumberFormat="1" applyFont="1" applyFill="1" applyBorder="1" applyAlignment="1" applyProtection="0">
      <alignment horizontal="left" vertical="center" wrapText="1"/>
    </xf>
    <xf numFmtId="49" fontId="22" fillId="3" borderId="2" applyNumberFormat="1" applyFont="1" applyFill="1" applyBorder="1" applyAlignment="1" applyProtection="0">
      <alignment horizontal="left" vertical="center" wrapText="1"/>
    </xf>
    <xf numFmtId="49" fontId="23" fillId="2" borderId="2" applyNumberFormat="1" applyFont="1" applyFill="1" applyBorder="1" applyAlignment="1" applyProtection="0">
      <alignment horizontal="left" vertical="center" wrapText="1"/>
    </xf>
    <xf numFmtId="49" fontId="24" fillId="2" borderId="2" applyNumberFormat="1" applyFont="1" applyFill="1" applyBorder="1" applyAlignment="1" applyProtection="0">
      <alignment horizontal="center" vertical="bottom"/>
    </xf>
    <xf numFmtId="49" fontId="23" fillId="2" borderId="12" applyNumberFormat="1" applyFont="1" applyFill="1" applyBorder="1" applyAlignment="1" applyProtection="0">
      <alignment horizontal="left" vertical="center" wrapText="1"/>
    </xf>
    <xf numFmtId="49" fontId="22" fillId="2" borderId="2" applyNumberFormat="1" applyFont="1" applyFill="1" applyBorder="1" applyAlignment="1" applyProtection="0">
      <alignment horizontal="left" vertical="center" wrapText="1"/>
    </xf>
    <xf numFmtId="49" fontId="22" fillId="2" borderId="12" applyNumberFormat="1" applyFont="1" applyFill="1" applyBorder="1" applyAlignment="1" applyProtection="0">
      <alignment horizontal="left" vertical="center" wrapText="1"/>
    </xf>
    <xf numFmtId="1" fontId="0" fillId="2" borderId="12" applyNumberFormat="1" applyFont="1" applyFill="1" applyBorder="1" applyAlignment="1" applyProtection="0">
      <alignment vertical="bottom"/>
    </xf>
    <xf numFmtId="1" fontId="0" fillId="2" borderId="14" applyNumberFormat="1" applyFont="1" applyFill="1" applyBorder="1" applyAlignment="1" applyProtection="0">
      <alignment vertical="bottom"/>
    </xf>
    <xf numFmtId="49" fontId="13" fillId="7" borderId="13" applyNumberFormat="1" applyFont="1" applyFill="1" applyBorder="1" applyAlignment="1" applyProtection="0">
      <alignment horizontal="left" vertical="center" wrapText="1"/>
    </xf>
    <xf numFmtId="0" fontId="0" fillId="2" borderId="13" applyNumberFormat="0" applyFont="1" applyFill="1" applyBorder="1" applyAlignment="1" applyProtection="0">
      <alignment vertical="bottom"/>
    </xf>
    <xf numFmtId="1" fontId="9" fillId="3" borderId="10" applyNumberFormat="1" applyFont="1" applyFill="1" applyBorder="1" applyAlignment="1" applyProtection="0">
      <alignment vertical="bottom"/>
    </xf>
    <xf numFmtId="49" fontId="25" fillId="2" borderId="2" applyNumberFormat="1" applyFont="1" applyFill="1" applyBorder="1" applyAlignment="1" applyProtection="0">
      <alignment horizontal="left" vertical="center" wrapText="1"/>
    </xf>
    <xf numFmtId="1" fontId="25" fillId="2" borderId="2" applyNumberFormat="1" applyFont="1" applyFill="1" applyBorder="1" applyAlignment="1" applyProtection="0">
      <alignment horizontal="left" vertical="center" wrapText="1"/>
    </xf>
    <xf numFmtId="1" fontId="25" fillId="2" borderId="12" applyNumberFormat="1" applyFont="1" applyFill="1" applyBorder="1" applyAlignment="1" applyProtection="0">
      <alignment horizontal="left" vertical="center" wrapText="1"/>
    </xf>
    <xf numFmtId="49" fontId="26" fillId="3" borderId="2" applyNumberFormat="1" applyFont="1" applyFill="1" applyBorder="1" applyAlignment="1" applyProtection="0">
      <alignment horizontal="left" vertical="center" wrapText="1"/>
    </xf>
    <xf numFmtId="49" fontId="27" fillId="2" borderId="2" applyNumberFormat="1" applyFont="1" applyFill="1" applyBorder="1" applyAlignment="1" applyProtection="0">
      <alignment horizontal="left" vertical="center" wrapText="1"/>
    </xf>
    <xf numFmtId="49" fontId="16" fillId="2" borderId="2" applyNumberFormat="1" applyFont="1" applyFill="1" applyBorder="1" applyAlignment="1" applyProtection="0">
      <alignment horizontal="left" vertical="center" wrapText="1"/>
    </xf>
    <xf numFmtId="49" fontId="16" fillId="3" borderId="2" applyNumberFormat="1" applyFont="1" applyFill="1" applyBorder="1" applyAlignment="1" applyProtection="0">
      <alignment horizontal="left" vertical="center" wrapText="1"/>
    </xf>
    <xf numFmtId="49" fontId="28" fillId="2" borderId="2" applyNumberFormat="1" applyFont="1" applyFill="1" applyBorder="1" applyAlignment="1" applyProtection="0">
      <alignment horizontal="left" vertical="center" wrapText="1"/>
    </xf>
    <xf numFmtId="49" fontId="25" fillId="3" borderId="2" applyNumberFormat="1" applyFont="1" applyFill="1" applyBorder="1" applyAlignment="1" applyProtection="0">
      <alignment horizontal="left" vertical="center" wrapText="1"/>
    </xf>
    <xf numFmtId="49" fontId="28" fillId="3" borderId="2" applyNumberFormat="1" applyFont="1" applyFill="1" applyBorder="1" applyAlignment="1" applyProtection="0">
      <alignment horizontal="left" vertical="center" wrapText="1"/>
    </xf>
    <xf numFmtId="1" fontId="27" fillId="2" borderId="2" applyNumberFormat="1" applyFont="1" applyFill="1" applyBorder="1" applyAlignment="1" applyProtection="0">
      <alignment horizontal="left" vertical="center" wrapText="1"/>
    </xf>
    <xf numFmtId="49" fontId="15" fillId="7" borderId="2" applyNumberFormat="1" applyFont="1" applyFill="1" applyBorder="1" applyAlignment="1" applyProtection="0">
      <alignment horizontal="left" vertical="center" wrapText="1"/>
    </xf>
    <xf numFmtId="0" fontId="0" fillId="2" borderId="12" applyNumberFormat="0" applyFont="1" applyFill="1" applyBorder="1" applyAlignment="1" applyProtection="0">
      <alignment vertical="bottom"/>
    </xf>
    <xf numFmtId="0" fontId="0" fillId="2" borderId="14" applyNumberFormat="0" applyFont="1" applyFill="1" applyBorder="1" applyAlignment="1" applyProtection="0">
      <alignment vertical="bottom"/>
    </xf>
    <xf numFmtId="1" fontId="9" fillId="2" borderId="9" applyNumberFormat="1" applyFont="1" applyFill="1" applyBorder="1" applyAlignment="1" applyProtection="0">
      <alignment vertical="bottom"/>
    </xf>
    <xf numFmtId="1" fontId="9" fillId="2" borderId="10" applyNumberFormat="1" applyFont="1" applyFill="1" applyBorder="1" applyAlignment="1" applyProtection="0">
      <alignment vertical="bottom"/>
    </xf>
    <xf numFmtId="1" fontId="0" fillId="2" borderId="10" applyNumberFormat="1" applyFont="1" applyFill="1" applyBorder="1" applyAlignment="1" applyProtection="0">
      <alignment vertical="bottom"/>
    </xf>
    <xf numFmtId="1" fontId="0" fillId="2" borderId="7" applyNumberFormat="1" applyFont="1" applyFill="1" applyBorder="1" applyAlignment="1" applyProtection="0">
      <alignment vertical="bottom"/>
    </xf>
    <xf numFmtId="49" fontId="17" fillId="11" borderId="10" applyNumberFormat="1" applyFont="1" applyFill="1" applyBorder="1" applyAlignment="1" applyProtection="0">
      <alignment horizontal="left" vertical="center"/>
    </xf>
    <xf numFmtId="49" fontId="29" fillId="12" borderId="10" applyNumberFormat="1" applyFont="1" applyFill="1" applyBorder="1" applyAlignment="1" applyProtection="0">
      <alignment horizontal="left" vertical="center"/>
    </xf>
    <xf numFmtId="49" fontId="30" fillId="12" borderId="10" applyNumberFormat="1" applyFont="1" applyFill="1" applyBorder="1" applyAlignment="1" applyProtection="0">
      <alignment horizontal="left" vertical="center" wrapText="1"/>
    </xf>
    <xf numFmtId="1" fontId="30" fillId="12" borderId="10" applyNumberFormat="1" applyFont="1" applyFill="1" applyBorder="1" applyAlignment="1" applyProtection="0">
      <alignment horizontal="left" vertical="center" wrapText="1"/>
    </xf>
    <xf numFmtId="1" fontId="30" fillId="12" borderId="7" applyNumberFormat="1" applyFont="1" applyFill="1" applyBorder="1" applyAlignment="1" applyProtection="0">
      <alignment horizontal="left" vertical="center" wrapText="1"/>
    </xf>
    <xf numFmtId="0" fontId="0" fillId="2" borderId="15" applyNumberFormat="0" applyFont="1" applyFill="1" applyBorder="1" applyAlignment="1" applyProtection="0">
      <alignment vertical="bottom"/>
    </xf>
    <xf numFmtId="49" fontId="29" fillId="12" borderId="16" applyNumberFormat="1" applyFont="1" applyFill="1" applyBorder="1" applyAlignment="1" applyProtection="0">
      <alignment horizontal="left" vertical="center"/>
    </xf>
    <xf numFmtId="49" fontId="30" fillId="12" borderId="16" applyNumberFormat="1" applyFont="1" applyFill="1" applyBorder="1" applyAlignment="1" applyProtection="0">
      <alignment horizontal="left" vertical="center" wrapText="1"/>
    </xf>
    <xf numFmtId="0" fontId="0" fillId="2" borderId="16" applyNumberFormat="0" applyFont="1" applyFill="1" applyBorder="1" applyAlignment="1" applyProtection="0">
      <alignment vertical="bottom"/>
    </xf>
    <xf numFmtId="0" fontId="0" fillId="2" borderId="17" applyNumberFormat="0" applyFont="1" applyFill="1" applyBorder="1" applyAlignment="1" applyProtection="0">
      <alignment vertical="bottom"/>
    </xf>
    <xf numFmtId="0" fontId="0" applyNumberFormat="1" applyFont="1" applyFill="0" applyBorder="0" applyAlignment="1" applyProtection="0">
      <alignment vertical="bottom"/>
    </xf>
    <xf numFmtId="0" fontId="0" fillId="2" borderId="18" applyNumberFormat="0" applyFont="1" applyFill="1" applyBorder="1" applyAlignment="1" applyProtection="0">
      <alignment vertical="bottom"/>
    </xf>
    <xf numFmtId="49" fontId="31" fillId="13" borderId="19" applyNumberFormat="1" applyFont="1" applyFill="1" applyBorder="1" applyAlignment="1" applyProtection="0">
      <alignment horizontal="left" vertical="center"/>
    </xf>
    <xf numFmtId="1" fontId="31" fillId="13" borderId="19" applyNumberFormat="1" applyFont="1" applyFill="1" applyBorder="1" applyAlignment="1" applyProtection="0">
      <alignment horizontal="left" vertical="center"/>
    </xf>
    <xf numFmtId="1" fontId="31" fillId="13" borderId="4" applyNumberFormat="1" applyFont="1" applyFill="1" applyBorder="1" applyAlignment="1" applyProtection="0">
      <alignment horizontal="left" vertical="center"/>
    </xf>
    <xf numFmtId="49" fontId="32" fillId="14" borderId="10" applyNumberFormat="1" applyFont="1" applyFill="1" applyBorder="1" applyAlignment="1" applyProtection="0">
      <alignment horizontal="left" vertical="center"/>
    </xf>
    <xf numFmtId="1" fontId="32" fillId="14" borderId="10" applyNumberFormat="1" applyFont="1" applyFill="1" applyBorder="1" applyAlignment="1" applyProtection="0">
      <alignment horizontal="left" vertical="center"/>
    </xf>
    <xf numFmtId="1" fontId="32" fillId="14" borderId="7" applyNumberFormat="1" applyFont="1" applyFill="1" applyBorder="1" applyAlignment="1" applyProtection="0">
      <alignment horizontal="left" vertical="center"/>
    </xf>
    <xf numFmtId="0" fontId="0" fillId="2" borderId="20" applyNumberFormat="0" applyFont="1" applyFill="1" applyBorder="1" applyAlignment="1" applyProtection="0">
      <alignment vertical="bottom"/>
    </xf>
    <xf numFmtId="0" fontId="0" fillId="2" borderId="21" applyNumberFormat="0" applyFont="1" applyFill="1" applyBorder="1" applyAlignment="1" applyProtection="0">
      <alignment vertical="bottom"/>
    </xf>
    <xf numFmtId="0" fontId="0" fillId="2" borderId="22" applyNumberFormat="0" applyFont="1" applyFill="1" applyBorder="1" applyAlignment="1" applyProtection="0">
      <alignment vertical="bottom"/>
    </xf>
    <xf numFmtId="49" fontId="33" fillId="13" borderId="23" applyNumberFormat="1" applyFont="1" applyFill="1" applyBorder="1" applyAlignment="1" applyProtection="0">
      <alignment horizontal="center" vertical="center"/>
    </xf>
    <xf numFmtId="49" fontId="33" fillId="8" borderId="23" applyNumberFormat="1" applyFont="1" applyFill="1" applyBorder="1" applyAlignment="1" applyProtection="0">
      <alignment horizontal="center" vertical="center"/>
    </xf>
    <xf numFmtId="49" fontId="34" fillId="13" borderId="23" applyNumberFormat="1" applyFont="1" applyFill="1" applyBorder="1" applyAlignment="1" applyProtection="0">
      <alignment horizontal="center" vertical="center"/>
    </xf>
    <xf numFmtId="49" fontId="35" fillId="15" borderId="23" applyNumberFormat="1" applyFont="1" applyFill="1" applyBorder="1" applyAlignment="1" applyProtection="0">
      <alignment horizontal="left" vertical="center"/>
    </xf>
    <xf numFmtId="49" fontId="36" fillId="15" borderId="23" applyNumberFormat="1" applyFont="1" applyFill="1" applyBorder="1" applyAlignment="1" applyProtection="0">
      <alignment horizontal="left" vertical="center"/>
    </xf>
    <xf numFmtId="3" fontId="35" fillId="15" borderId="23" applyNumberFormat="1" applyFont="1" applyFill="1" applyBorder="1" applyAlignment="1" applyProtection="0">
      <alignment horizontal="right" vertical="center"/>
    </xf>
    <xf numFmtId="62" fontId="35" fillId="15" borderId="23" applyNumberFormat="1" applyFont="1" applyFill="1" applyBorder="1" applyAlignment="1" applyProtection="0">
      <alignment horizontal="right" vertical="center"/>
    </xf>
    <xf numFmtId="3" fontId="37" fillId="16" borderId="24" applyNumberFormat="1" applyFont="1" applyFill="1" applyBorder="1" applyAlignment="1" applyProtection="0">
      <alignment horizontal="right" vertical="center"/>
    </xf>
    <xf numFmtId="62" fontId="38" fillId="17" borderId="25" applyNumberFormat="1" applyFont="1" applyFill="1" applyBorder="1" applyAlignment="1" applyProtection="0">
      <alignment horizontal="right" vertical="center"/>
    </xf>
    <xf numFmtId="59" fontId="37" fillId="16" borderId="23" applyNumberFormat="1" applyFont="1" applyFill="1" applyBorder="1" applyAlignment="1" applyProtection="0">
      <alignment horizontal="right" vertical="center"/>
    </xf>
    <xf numFmtId="59" fontId="35" fillId="16" borderId="23" applyNumberFormat="1" applyFont="1" applyFill="1" applyBorder="1" applyAlignment="1" applyProtection="0">
      <alignment horizontal="right" vertical="center"/>
    </xf>
    <xf numFmtId="63" fontId="35" fillId="16" borderId="23" applyNumberFormat="1" applyFont="1" applyFill="1" applyBorder="1" applyAlignment="1" applyProtection="0">
      <alignment horizontal="right" vertical="center"/>
    </xf>
    <xf numFmtId="64" fontId="35" fillId="16" borderId="23" applyNumberFormat="1" applyFont="1" applyFill="1" applyBorder="1" applyAlignment="1" applyProtection="0">
      <alignment horizontal="right" vertical="center"/>
    </xf>
    <xf numFmtId="62" fontId="0" fillId="17" borderId="23" applyNumberFormat="1" applyFont="1" applyFill="1" applyBorder="1" applyAlignment="1" applyProtection="0">
      <alignment horizontal="right" vertical="center"/>
    </xf>
    <xf numFmtId="0" fontId="35" fillId="16" borderId="23" applyNumberFormat="0" applyFont="1" applyFill="1" applyBorder="1" applyAlignment="1" applyProtection="0">
      <alignment horizontal="right" vertical="center"/>
    </xf>
    <xf numFmtId="49" fontId="32" fillId="17" borderId="23" applyNumberFormat="1" applyFont="1" applyFill="1" applyBorder="1" applyAlignment="1" applyProtection="0">
      <alignment horizontal="left" vertical="center"/>
    </xf>
    <xf numFmtId="1" fontId="35" fillId="2" borderId="26" applyNumberFormat="1" applyFont="1" applyFill="1" applyBorder="1" applyAlignment="1" applyProtection="0">
      <alignment horizontal="left" vertical="center"/>
    </xf>
    <xf numFmtId="1" fontId="36" fillId="2" borderId="26" applyNumberFormat="1" applyFont="1" applyFill="1" applyBorder="1" applyAlignment="1" applyProtection="0">
      <alignment horizontal="left" vertical="center"/>
    </xf>
    <xf numFmtId="3" fontId="35" fillId="2" borderId="26" applyNumberFormat="1" applyFont="1" applyFill="1" applyBorder="1" applyAlignment="1" applyProtection="0">
      <alignment horizontal="right" vertical="center"/>
    </xf>
    <xf numFmtId="62" fontId="35" fillId="2" borderId="26" applyNumberFormat="1" applyFont="1" applyFill="1" applyBorder="1" applyAlignment="1" applyProtection="0">
      <alignment horizontal="right" vertical="center"/>
    </xf>
    <xf numFmtId="3" fontId="37" fillId="2" borderId="26" applyNumberFormat="1" applyFont="1" applyFill="1" applyBorder="1" applyAlignment="1" applyProtection="0">
      <alignment horizontal="right" vertical="center"/>
    </xf>
    <xf numFmtId="62" fontId="38" fillId="2" borderId="26" applyNumberFormat="1" applyFont="1" applyFill="1" applyBorder="1" applyAlignment="1" applyProtection="0">
      <alignment horizontal="right" vertical="center"/>
    </xf>
    <xf numFmtId="59" fontId="37" fillId="2" borderId="26" applyNumberFormat="1" applyFont="1" applyFill="1" applyBorder="1" applyAlignment="1" applyProtection="0">
      <alignment horizontal="right" vertical="center"/>
    </xf>
    <xf numFmtId="59" fontId="35" fillId="2" borderId="26" applyNumberFormat="1" applyFont="1" applyFill="1" applyBorder="1" applyAlignment="1" applyProtection="0">
      <alignment horizontal="right" vertical="center"/>
    </xf>
    <xf numFmtId="63" fontId="35" fillId="2" borderId="26" applyNumberFormat="1" applyFont="1" applyFill="1" applyBorder="1" applyAlignment="1" applyProtection="0">
      <alignment horizontal="right" vertical="center"/>
    </xf>
    <xf numFmtId="64" fontId="35" fillId="2" borderId="26" applyNumberFormat="1" applyFont="1" applyFill="1" applyBorder="1" applyAlignment="1" applyProtection="0">
      <alignment horizontal="right" vertical="center"/>
    </xf>
    <xf numFmtId="62" fontId="0" fillId="2" borderId="26" applyNumberFormat="1" applyFont="1" applyFill="1" applyBorder="1" applyAlignment="1" applyProtection="0">
      <alignment horizontal="right" vertical="center"/>
    </xf>
    <xf numFmtId="1" fontId="32" fillId="2" borderId="27" applyNumberFormat="1" applyFont="1" applyFill="1" applyBorder="1" applyAlignment="1" applyProtection="0">
      <alignment horizontal="left" vertical="center"/>
    </xf>
    <xf numFmtId="1" fontId="35" fillId="2" borderId="28" applyNumberFormat="1" applyFont="1" applyFill="1" applyBorder="1" applyAlignment="1" applyProtection="0">
      <alignment horizontal="left" vertical="center"/>
    </xf>
    <xf numFmtId="1" fontId="36" fillId="2" borderId="28" applyNumberFormat="1" applyFont="1" applyFill="1" applyBorder="1" applyAlignment="1" applyProtection="0">
      <alignment horizontal="left" vertical="center"/>
    </xf>
    <xf numFmtId="3" fontId="35" fillId="2" borderId="28" applyNumberFormat="1" applyFont="1" applyFill="1" applyBorder="1" applyAlignment="1" applyProtection="0">
      <alignment horizontal="right" vertical="center"/>
    </xf>
    <xf numFmtId="62" fontId="35" fillId="2" borderId="28" applyNumberFormat="1" applyFont="1" applyFill="1" applyBorder="1" applyAlignment="1" applyProtection="0">
      <alignment horizontal="right" vertical="center"/>
    </xf>
    <xf numFmtId="3" fontId="37" fillId="2" borderId="28" applyNumberFormat="1" applyFont="1" applyFill="1" applyBorder="1" applyAlignment="1" applyProtection="0">
      <alignment horizontal="right" vertical="center"/>
    </xf>
    <xf numFmtId="62" fontId="38" fillId="2" borderId="28" applyNumberFormat="1" applyFont="1" applyFill="1" applyBorder="1" applyAlignment="1" applyProtection="0">
      <alignment horizontal="right" vertical="center"/>
    </xf>
    <xf numFmtId="59" fontId="37" fillId="2" borderId="28" applyNumberFormat="1" applyFont="1" applyFill="1" applyBorder="1" applyAlignment="1" applyProtection="0">
      <alignment horizontal="right" vertical="center"/>
    </xf>
    <xf numFmtId="59" fontId="35" fillId="2" borderId="28" applyNumberFormat="1" applyFont="1" applyFill="1" applyBorder="1" applyAlignment="1" applyProtection="0">
      <alignment horizontal="right" vertical="center"/>
    </xf>
    <xf numFmtId="63" fontId="35" fillId="2" borderId="28" applyNumberFormat="1" applyFont="1" applyFill="1" applyBorder="1" applyAlignment="1" applyProtection="0">
      <alignment horizontal="right" vertical="center"/>
    </xf>
    <xf numFmtId="64" fontId="35" fillId="2" borderId="28" applyNumberFormat="1" applyFont="1" applyFill="1" applyBorder="1" applyAlignment="1" applyProtection="0">
      <alignment horizontal="right" vertical="center"/>
    </xf>
    <xf numFmtId="62" fontId="0" fillId="2" borderId="28" applyNumberFormat="1" applyFont="1" applyFill="1" applyBorder="1" applyAlignment="1" applyProtection="0">
      <alignment horizontal="right" vertical="center"/>
    </xf>
    <xf numFmtId="1" fontId="32" fillId="2" borderId="29" applyNumberFormat="1" applyFont="1" applyFill="1" applyBorder="1" applyAlignment="1" applyProtection="0">
      <alignment horizontal="left" vertical="center"/>
    </xf>
    <xf numFmtId="49" fontId="17" fillId="13" borderId="23" applyNumberFormat="1" applyFont="1" applyFill="1" applyBorder="1" applyAlignment="1" applyProtection="0">
      <alignment vertical="bottom"/>
    </xf>
    <xf numFmtId="1" fontId="0" fillId="13" borderId="23" applyNumberFormat="1" applyFont="1" applyFill="1" applyBorder="1" applyAlignment="1" applyProtection="0">
      <alignment vertical="bottom"/>
    </xf>
    <xf numFmtId="59" fontId="39" fillId="13" borderId="23" applyNumberFormat="1" applyFont="1" applyFill="1" applyBorder="1" applyAlignment="1" applyProtection="0">
      <alignment horizontal="right" vertical="center"/>
    </xf>
    <xf numFmtId="59" fontId="40" fillId="13" borderId="23" applyNumberFormat="1" applyFont="1" applyFill="1" applyBorder="1" applyAlignment="1" applyProtection="0">
      <alignment horizontal="right" vertical="center"/>
    </xf>
    <xf numFmtId="63" fontId="41" fillId="16" borderId="23" applyNumberFormat="1" applyFont="1" applyFill="1" applyBorder="1" applyAlignment="1" applyProtection="0">
      <alignment horizontal="right" vertical="center"/>
    </xf>
    <xf numFmtId="64" fontId="41" fillId="16" borderId="23" applyNumberFormat="1" applyFont="1" applyFill="1" applyBorder="1" applyAlignment="1" applyProtection="0">
      <alignment horizontal="right" vertical="center"/>
    </xf>
    <xf numFmtId="0" fontId="0" applyNumberFormat="1" applyFont="1" applyFill="0" applyBorder="0" applyAlignment="1" applyProtection="0">
      <alignment vertical="bottom"/>
    </xf>
    <xf numFmtId="49" fontId="40" fillId="11" borderId="19" applyNumberFormat="1" applyFont="1" applyFill="1" applyBorder="1" applyAlignment="1" applyProtection="0">
      <alignment horizontal="left" vertical="center"/>
    </xf>
    <xf numFmtId="1" fontId="40" fillId="11" borderId="19" applyNumberFormat="1" applyFont="1" applyFill="1" applyBorder="1" applyAlignment="1" applyProtection="0">
      <alignment horizontal="left" vertical="center"/>
    </xf>
    <xf numFmtId="1" fontId="40" fillId="11" borderId="4" applyNumberFormat="1" applyFont="1" applyFill="1" applyBorder="1" applyAlignment="1" applyProtection="0">
      <alignment horizontal="left" vertical="center"/>
    </xf>
    <xf numFmtId="49" fontId="42" fillId="12" borderId="10" applyNumberFormat="1" applyFont="1" applyFill="1" applyBorder="1" applyAlignment="1" applyProtection="0">
      <alignment horizontal="left" vertical="center"/>
    </xf>
    <xf numFmtId="1" fontId="42" fillId="12" borderId="10" applyNumberFormat="1" applyFont="1" applyFill="1" applyBorder="1" applyAlignment="1" applyProtection="0">
      <alignment horizontal="left" vertical="center"/>
    </xf>
    <xf numFmtId="1" fontId="42" fillId="12" borderId="7" applyNumberFormat="1" applyFont="1" applyFill="1" applyBorder="1" applyAlignment="1" applyProtection="0">
      <alignment horizontal="left" vertical="center"/>
    </xf>
    <xf numFmtId="0" fontId="0" fillId="2" borderId="30" applyNumberFormat="0" applyFont="1" applyFill="1" applyBorder="1" applyAlignment="1" applyProtection="0">
      <alignment vertical="bottom"/>
    </xf>
    <xf numFmtId="0" fontId="0" fillId="2" borderId="31" applyNumberFormat="0" applyFont="1" applyFill="1" applyBorder="1" applyAlignment="1" applyProtection="0">
      <alignment vertical="bottom"/>
    </xf>
    <xf numFmtId="49" fontId="33" fillId="12" borderId="32" applyNumberFormat="1" applyFont="1" applyFill="1" applyBorder="1" applyAlignment="1" applyProtection="0">
      <alignment horizontal="center" vertical="center"/>
    </xf>
    <xf numFmtId="49" fontId="43" fillId="18" borderId="32" applyNumberFormat="1" applyFont="1" applyFill="1" applyBorder="1" applyAlignment="1" applyProtection="0">
      <alignment horizontal="left" vertical="center"/>
    </xf>
    <xf numFmtId="49" fontId="24" fillId="18" borderId="32" applyNumberFormat="1" applyFont="1" applyFill="1" applyBorder="1" applyAlignment="1" applyProtection="0">
      <alignment horizontal="left" vertical="center"/>
    </xf>
    <xf numFmtId="49" fontId="44" fillId="18" borderId="32" applyNumberFormat="1" applyFont="1" applyFill="1" applyBorder="1" applyAlignment="1" applyProtection="0">
      <alignment horizontal="center" vertical="center"/>
    </xf>
    <xf numFmtId="65" fontId="44" fillId="18" borderId="32" applyNumberFormat="1" applyFont="1" applyFill="1" applyBorder="1" applyAlignment="1" applyProtection="0">
      <alignment horizontal="right" vertical="center"/>
    </xf>
    <xf numFmtId="62" fontId="43" fillId="17" borderId="32" applyNumberFormat="1" applyFont="1" applyFill="1" applyBorder="1" applyAlignment="1" applyProtection="0">
      <alignment horizontal="right" vertical="center"/>
    </xf>
    <xf numFmtId="62" fontId="45" fillId="18" borderId="32" applyNumberFormat="1" applyFont="1" applyFill="1" applyBorder="1" applyAlignment="1" applyProtection="0">
      <alignment horizontal="right" vertical="center"/>
    </xf>
    <xf numFmtId="64" fontId="44" fillId="18" borderId="32" applyNumberFormat="1" applyFont="1" applyFill="1" applyBorder="1" applyAlignment="1" applyProtection="0">
      <alignment horizontal="right" vertical="center"/>
    </xf>
    <xf numFmtId="59" fontId="23" fillId="18" borderId="32" applyNumberFormat="1" applyFont="1" applyFill="1" applyBorder="1" applyAlignment="1" applyProtection="0">
      <alignment horizontal="right" vertical="center"/>
    </xf>
    <xf numFmtId="63" fontId="23" fillId="18" borderId="32" applyNumberFormat="1" applyFont="1" applyFill="1" applyBorder="1" applyAlignment="1" applyProtection="0">
      <alignment horizontal="right" vertical="center"/>
    </xf>
    <xf numFmtId="3" fontId="45" fillId="18" borderId="32" applyNumberFormat="1" applyFont="1" applyFill="1" applyBorder="1" applyAlignment="1" applyProtection="0">
      <alignment horizontal="right" vertical="center"/>
    </xf>
    <xf numFmtId="49" fontId="46" fillId="18" borderId="32" applyNumberFormat="1" applyFont="1" applyFill="1" applyBorder="1" applyAlignment="1" applyProtection="0">
      <alignment horizontal="left" vertical="center" wrapText="1"/>
    </xf>
    <xf numFmtId="49" fontId="47" fillId="19" borderId="32" applyNumberFormat="1" applyFont="1" applyFill="1" applyBorder="1" applyAlignment="1" applyProtection="0">
      <alignment horizontal="left" vertical="center"/>
    </xf>
    <xf numFmtId="49" fontId="24" fillId="19" borderId="32" applyNumberFormat="1" applyFont="1" applyFill="1" applyBorder="1" applyAlignment="1" applyProtection="0">
      <alignment horizontal="left" vertical="center"/>
    </xf>
    <xf numFmtId="49" fontId="48" fillId="19" borderId="32" applyNumberFormat="1" applyFont="1" applyFill="1" applyBorder="1" applyAlignment="1" applyProtection="0">
      <alignment horizontal="center" vertical="center"/>
    </xf>
    <xf numFmtId="65" fontId="48" fillId="19" borderId="32" applyNumberFormat="1" applyFont="1" applyFill="1" applyBorder="1" applyAlignment="1" applyProtection="0">
      <alignment horizontal="right" vertical="center"/>
    </xf>
    <xf numFmtId="62" fontId="45" fillId="19" borderId="32" applyNumberFormat="1" applyFont="1" applyFill="1" applyBorder="1" applyAlignment="1" applyProtection="0">
      <alignment horizontal="right" vertical="center"/>
    </xf>
    <xf numFmtId="64" fontId="48" fillId="19" borderId="32" applyNumberFormat="1" applyFont="1" applyFill="1" applyBorder="1" applyAlignment="1" applyProtection="0">
      <alignment horizontal="right" vertical="center"/>
    </xf>
    <xf numFmtId="59" fontId="23" fillId="19" borderId="32" applyNumberFormat="1" applyFont="1" applyFill="1" applyBorder="1" applyAlignment="1" applyProtection="0">
      <alignment horizontal="right" vertical="center"/>
    </xf>
    <xf numFmtId="63" fontId="23" fillId="19" borderId="32" applyNumberFormat="1" applyFont="1" applyFill="1" applyBorder="1" applyAlignment="1" applyProtection="0">
      <alignment horizontal="right" vertical="center"/>
    </xf>
    <xf numFmtId="3" fontId="45" fillId="19" borderId="32" applyNumberFormat="1" applyFont="1" applyFill="1" applyBorder="1" applyAlignment="1" applyProtection="0">
      <alignment horizontal="right" vertical="center"/>
    </xf>
    <xf numFmtId="49" fontId="46" fillId="19" borderId="32" applyNumberFormat="1" applyFont="1" applyFill="1" applyBorder="1" applyAlignment="1" applyProtection="0">
      <alignment horizontal="left" vertical="center" wrapText="1"/>
    </xf>
    <xf numFmtId="49" fontId="49" fillId="20" borderId="32" applyNumberFormat="1" applyFont="1" applyFill="1" applyBorder="1" applyAlignment="1" applyProtection="0">
      <alignment horizontal="left" vertical="center"/>
    </xf>
    <xf numFmtId="49" fontId="24" fillId="20" borderId="32" applyNumberFormat="1" applyFont="1" applyFill="1" applyBorder="1" applyAlignment="1" applyProtection="0">
      <alignment horizontal="left" vertical="center"/>
    </xf>
    <xf numFmtId="49" fontId="50" fillId="20" borderId="32" applyNumberFormat="1" applyFont="1" applyFill="1" applyBorder="1" applyAlignment="1" applyProtection="0">
      <alignment horizontal="center" vertical="center"/>
    </xf>
    <xf numFmtId="65" fontId="50" fillId="20" borderId="32" applyNumberFormat="1" applyFont="1" applyFill="1" applyBorder="1" applyAlignment="1" applyProtection="0">
      <alignment horizontal="right" vertical="center"/>
    </xf>
    <xf numFmtId="62" fontId="45" fillId="20" borderId="32" applyNumberFormat="1" applyFont="1" applyFill="1" applyBorder="1" applyAlignment="1" applyProtection="0">
      <alignment horizontal="right" vertical="center"/>
    </xf>
    <xf numFmtId="64" fontId="50" fillId="20" borderId="32" applyNumberFormat="1" applyFont="1" applyFill="1" applyBorder="1" applyAlignment="1" applyProtection="0">
      <alignment horizontal="right" vertical="center"/>
    </xf>
    <xf numFmtId="59" fontId="23" fillId="20" borderId="32" applyNumberFormat="1" applyFont="1" applyFill="1" applyBorder="1" applyAlignment="1" applyProtection="0">
      <alignment horizontal="right" vertical="center"/>
    </xf>
    <xf numFmtId="63" fontId="23" fillId="20" borderId="32" applyNumberFormat="1" applyFont="1" applyFill="1" applyBorder="1" applyAlignment="1" applyProtection="0">
      <alignment horizontal="right" vertical="center"/>
    </xf>
    <xf numFmtId="3" fontId="45" fillId="20" borderId="32" applyNumberFormat="1" applyFont="1" applyFill="1" applyBorder="1" applyAlignment="1" applyProtection="0">
      <alignment horizontal="right" vertical="center"/>
    </xf>
    <xf numFmtId="49" fontId="46" fillId="20" borderId="32" applyNumberFormat="1" applyFont="1" applyFill="1" applyBorder="1" applyAlignment="1" applyProtection="0">
      <alignment horizontal="left" vertical="center" wrapText="1"/>
    </xf>
    <xf numFmtId="49" fontId="51" fillId="18" borderId="32" applyNumberFormat="1" applyFont="1" applyFill="1" applyBorder="1" applyAlignment="1" applyProtection="0">
      <alignment horizontal="left" vertical="center" wrapText="1"/>
    </xf>
    <xf numFmtId="49" fontId="37" fillId="21" borderId="32" applyNumberFormat="1" applyFont="1" applyFill="1" applyBorder="1" applyAlignment="1" applyProtection="0">
      <alignment horizontal="left" vertical="center"/>
    </xf>
    <xf numFmtId="49" fontId="24" fillId="21" borderId="32" applyNumberFormat="1" applyFont="1" applyFill="1" applyBorder="1" applyAlignment="1" applyProtection="0">
      <alignment horizontal="left" vertical="center"/>
    </xf>
    <xf numFmtId="49" fontId="52" fillId="21" borderId="32" applyNumberFormat="1" applyFont="1" applyFill="1" applyBorder="1" applyAlignment="1" applyProtection="0">
      <alignment horizontal="center" vertical="center"/>
    </xf>
    <xf numFmtId="65" fontId="52" fillId="21" borderId="32" applyNumberFormat="1" applyFont="1" applyFill="1" applyBorder="1" applyAlignment="1" applyProtection="0">
      <alignment horizontal="right" vertical="center"/>
    </xf>
    <xf numFmtId="62" fontId="45" fillId="21" borderId="32" applyNumberFormat="1" applyFont="1" applyFill="1" applyBorder="1" applyAlignment="1" applyProtection="0">
      <alignment horizontal="right" vertical="center"/>
    </xf>
    <xf numFmtId="64" fontId="52" fillId="21" borderId="32" applyNumberFormat="1" applyFont="1" applyFill="1" applyBorder="1" applyAlignment="1" applyProtection="0">
      <alignment horizontal="right" vertical="center"/>
    </xf>
    <xf numFmtId="59" fontId="23" fillId="21" borderId="32" applyNumberFormat="1" applyFont="1" applyFill="1" applyBorder="1" applyAlignment="1" applyProtection="0">
      <alignment horizontal="right" vertical="center"/>
    </xf>
    <xf numFmtId="63" fontId="23" fillId="21" borderId="32" applyNumberFormat="1" applyFont="1" applyFill="1" applyBorder="1" applyAlignment="1" applyProtection="0">
      <alignment horizontal="right" vertical="center"/>
    </xf>
    <xf numFmtId="3" fontId="45" fillId="21" borderId="32" applyNumberFormat="1" applyFont="1" applyFill="1" applyBorder="1" applyAlignment="1" applyProtection="0">
      <alignment horizontal="right" vertical="center"/>
    </xf>
    <xf numFmtId="49" fontId="46" fillId="21" borderId="32" applyNumberFormat="1" applyFont="1" applyFill="1" applyBorder="1" applyAlignment="1" applyProtection="0">
      <alignment horizontal="left" vertical="center" wrapText="1"/>
    </xf>
    <xf numFmtId="49" fontId="51" fillId="21" borderId="32" applyNumberFormat="1" applyFont="1" applyFill="1" applyBorder="1" applyAlignment="1" applyProtection="0">
      <alignment horizontal="left" vertical="center" wrapText="1"/>
    </xf>
    <xf numFmtId="49" fontId="53" fillId="22" borderId="32" applyNumberFormat="1" applyFont="1" applyFill="1" applyBorder="1" applyAlignment="1" applyProtection="0">
      <alignment horizontal="left" vertical="center"/>
    </xf>
    <xf numFmtId="49" fontId="24" fillId="22" borderId="32" applyNumberFormat="1" applyFont="1" applyFill="1" applyBorder="1" applyAlignment="1" applyProtection="0">
      <alignment horizontal="left" vertical="center"/>
    </xf>
    <xf numFmtId="49" fontId="54" fillId="22" borderId="32" applyNumberFormat="1" applyFont="1" applyFill="1" applyBorder="1" applyAlignment="1" applyProtection="0">
      <alignment horizontal="center" vertical="center"/>
    </xf>
    <xf numFmtId="65" fontId="54" fillId="22" borderId="32" applyNumberFormat="1" applyFont="1" applyFill="1" applyBorder="1" applyAlignment="1" applyProtection="0">
      <alignment horizontal="right" vertical="center"/>
    </xf>
    <xf numFmtId="62" fontId="45" fillId="22" borderId="32" applyNumberFormat="1" applyFont="1" applyFill="1" applyBorder="1" applyAlignment="1" applyProtection="0">
      <alignment horizontal="right" vertical="center"/>
    </xf>
    <xf numFmtId="64" fontId="54" fillId="22" borderId="32" applyNumberFormat="1" applyFont="1" applyFill="1" applyBorder="1" applyAlignment="1" applyProtection="0">
      <alignment horizontal="right" vertical="center"/>
    </xf>
    <xf numFmtId="59" fontId="23" fillId="22" borderId="32" applyNumberFormat="1" applyFont="1" applyFill="1" applyBorder="1" applyAlignment="1" applyProtection="0">
      <alignment horizontal="right" vertical="center"/>
    </xf>
    <xf numFmtId="63" fontId="23" fillId="22" borderId="32" applyNumberFormat="1" applyFont="1" applyFill="1" applyBorder="1" applyAlignment="1" applyProtection="0">
      <alignment horizontal="right" vertical="center"/>
    </xf>
    <xf numFmtId="3" fontId="45" fillId="22" borderId="32" applyNumberFormat="1" applyFont="1" applyFill="1" applyBorder="1" applyAlignment="1" applyProtection="0">
      <alignment horizontal="right" vertical="center"/>
    </xf>
    <xf numFmtId="49" fontId="46" fillId="22" borderId="32" applyNumberFormat="1" applyFont="1" applyFill="1" applyBorder="1" applyAlignment="1" applyProtection="0">
      <alignment horizontal="left" vertical="center" wrapText="1"/>
    </xf>
    <xf numFmtId="1" fontId="43" fillId="2" borderId="33" applyNumberFormat="1" applyFont="1" applyFill="1" applyBorder="1" applyAlignment="1" applyProtection="0">
      <alignment horizontal="left" vertical="center"/>
    </xf>
    <xf numFmtId="1" fontId="24" fillId="2" borderId="33" applyNumberFormat="1" applyFont="1" applyFill="1" applyBorder="1" applyAlignment="1" applyProtection="0">
      <alignment horizontal="left" vertical="center"/>
    </xf>
    <xf numFmtId="1" fontId="44" fillId="2" borderId="33" applyNumberFormat="1" applyFont="1" applyFill="1" applyBorder="1" applyAlignment="1" applyProtection="0">
      <alignment horizontal="center" vertical="center"/>
    </xf>
    <xf numFmtId="65" fontId="44" fillId="2" borderId="33" applyNumberFormat="1" applyFont="1" applyFill="1" applyBorder="1" applyAlignment="1" applyProtection="0">
      <alignment horizontal="right" vertical="center"/>
    </xf>
    <xf numFmtId="62" fontId="43" fillId="2" borderId="33" applyNumberFormat="1" applyFont="1" applyFill="1" applyBorder="1" applyAlignment="1" applyProtection="0">
      <alignment horizontal="right" vertical="center"/>
    </xf>
    <xf numFmtId="62" fontId="45" fillId="2" borderId="33" applyNumberFormat="1" applyFont="1" applyFill="1" applyBorder="1" applyAlignment="1" applyProtection="0">
      <alignment horizontal="right" vertical="center"/>
    </xf>
    <xf numFmtId="64" fontId="44" fillId="2" borderId="33" applyNumberFormat="1" applyFont="1" applyFill="1" applyBorder="1" applyAlignment="1" applyProtection="0">
      <alignment horizontal="right" vertical="center"/>
    </xf>
    <xf numFmtId="59" fontId="23" fillId="2" borderId="33" applyNumberFormat="1" applyFont="1" applyFill="1" applyBorder="1" applyAlignment="1" applyProtection="0">
      <alignment horizontal="right" vertical="center"/>
    </xf>
    <xf numFmtId="63" fontId="23" fillId="2" borderId="33" applyNumberFormat="1" applyFont="1" applyFill="1" applyBorder="1" applyAlignment="1" applyProtection="0">
      <alignment horizontal="right" vertical="center"/>
    </xf>
    <xf numFmtId="3" fontId="45" fillId="2" borderId="33" applyNumberFormat="1" applyFont="1" applyFill="1" applyBorder="1" applyAlignment="1" applyProtection="0">
      <alignment horizontal="right" vertical="center"/>
    </xf>
    <xf numFmtId="1" fontId="46" fillId="2" borderId="33" applyNumberFormat="1" applyFont="1" applyFill="1" applyBorder="1" applyAlignment="1" applyProtection="0">
      <alignment horizontal="left" vertical="center" wrapText="1"/>
    </xf>
    <xf numFmtId="1" fontId="46" fillId="2" borderId="34" applyNumberFormat="1" applyFont="1" applyFill="1" applyBorder="1" applyAlignment="1" applyProtection="0">
      <alignment horizontal="left" vertical="center" wrapText="1"/>
    </xf>
    <xf numFmtId="1" fontId="55" fillId="2" borderId="35" applyNumberFormat="1" applyFont="1" applyFill="1" applyBorder="1" applyAlignment="1" applyProtection="0">
      <alignment horizontal="left" vertical="center"/>
    </xf>
    <xf numFmtId="1" fontId="24" fillId="2" borderId="35" applyNumberFormat="1" applyFont="1" applyFill="1" applyBorder="1" applyAlignment="1" applyProtection="0">
      <alignment horizontal="left" vertical="center"/>
    </xf>
    <xf numFmtId="1" fontId="56" fillId="2" borderId="35" applyNumberFormat="1" applyFont="1" applyFill="1" applyBorder="1" applyAlignment="1" applyProtection="0">
      <alignment horizontal="center" vertical="center"/>
    </xf>
    <xf numFmtId="65" fontId="56" fillId="2" borderId="35" applyNumberFormat="1" applyFont="1" applyFill="1" applyBorder="1" applyAlignment="1" applyProtection="0">
      <alignment horizontal="right" vertical="center"/>
    </xf>
    <xf numFmtId="62" fontId="43" fillId="2" borderId="35" applyNumberFormat="1" applyFont="1" applyFill="1" applyBorder="1" applyAlignment="1" applyProtection="0">
      <alignment horizontal="right" vertical="center"/>
    </xf>
    <xf numFmtId="62" fontId="45" fillId="2" borderId="35" applyNumberFormat="1" applyFont="1" applyFill="1" applyBorder="1" applyAlignment="1" applyProtection="0">
      <alignment horizontal="right" vertical="center"/>
    </xf>
    <xf numFmtId="64" fontId="56" fillId="2" borderId="35" applyNumberFormat="1" applyFont="1" applyFill="1" applyBorder="1" applyAlignment="1" applyProtection="0">
      <alignment horizontal="right" vertical="center"/>
    </xf>
    <xf numFmtId="59" fontId="23" fillId="2" borderId="35" applyNumberFormat="1" applyFont="1" applyFill="1" applyBorder="1" applyAlignment="1" applyProtection="0">
      <alignment horizontal="right" vertical="center"/>
    </xf>
    <xf numFmtId="63" fontId="23" fillId="2" borderId="35" applyNumberFormat="1" applyFont="1" applyFill="1" applyBorder="1" applyAlignment="1" applyProtection="0">
      <alignment horizontal="right" vertical="center"/>
    </xf>
    <xf numFmtId="3" fontId="45" fillId="2" borderId="35" applyNumberFormat="1" applyFont="1" applyFill="1" applyBorder="1" applyAlignment="1" applyProtection="0">
      <alignment horizontal="right" vertical="center"/>
    </xf>
    <xf numFmtId="1" fontId="46" fillId="2" borderId="35" applyNumberFormat="1" applyFont="1" applyFill="1" applyBorder="1" applyAlignment="1" applyProtection="0">
      <alignment horizontal="left" vertical="center" wrapText="1"/>
    </xf>
    <xf numFmtId="1" fontId="46" fillId="2" borderId="36" applyNumberFormat="1" applyFont="1" applyFill="1" applyBorder="1" applyAlignment="1" applyProtection="0">
      <alignment horizontal="left" vertical="center" wrapText="1"/>
    </xf>
    <xf numFmtId="49" fontId="17" fillId="11" borderId="32" applyNumberFormat="1" applyFont="1" applyFill="1" applyBorder="1" applyAlignment="1" applyProtection="0">
      <alignment vertical="bottom"/>
    </xf>
    <xf numFmtId="1" fontId="0" fillId="11" borderId="32" applyNumberFormat="1" applyFont="1" applyFill="1" applyBorder="1" applyAlignment="1" applyProtection="0">
      <alignment vertical="bottom"/>
    </xf>
    <xf numFmtId="64" fontId="40" fillId="11" borderId="32" applyNumberFormat="1" applyFont="1" applyFill="1" applyBorder="1" applyAlignment="1" applyProtection="0">
      <alignment horizontal="right" vertical="center"/>
    </xf>
    <xf numFmtId="59" fontId="40" fillId="11" borderId="32" applyNumberFormat="1" applyFont="1" applyFill="1" applyBorder="1" applyAlignment="1" applyProtection="0">
      <alignment horizontal="right" vertical="center"/>
    </xf>
    <xf numFmtId="63" fontId="40" fillId="11" borderId="32" applyNumberFormat="1" applyFont="1" applyFill="1" applyBorder="1" applyAlignment="1" applyProtection="0">
      <alignment horizontal="right" vertical="center"/>
    </xf>
    <xf numFmtId="0" fontId="0" applyNumberFormat="1" applyFont="1" applyFill="0" applyBorder="0" applyAlignment="1" applyProtection="0">
      <alignment vertical="bottom"/>
    </xf>
    <xf numFmtId="49" fontId="57" fillId="3" borderId="2" applyNumberFormat="1" applyFont="1" applyFill="1" applyBorder="1" applyAlignment="1" applyProtection="0">
      <alignment horizontal="center" vertical="center" wrapText="1"/>
    </xf>
    <xf numFmtId="1" fontId="57" fillId="3" borderId="2" applyNumberFormat="1" applyFont="1" applyFill="1" applyBorder="1" applyAlignment="1" applyProtection="0">
      <alignment horizontal="center" vertical="center" wrapText="1"/>
    </xf>
    <xf numFmtId="1" fontId="3" fillId="2" borderId="37" applyNumberFormat="1" applyFont="1" applyFill="1" applyBorder="1" applyAlignment="1" applyProtection="0">
      <alignment vertical="bottom"/>
    </xf>
    <xf numFmtId="1" fontId="6" fillId="2" borderId="7" applyNumberFormat="1" applyFont="1" applyFill="1" applyBorder="1" applyAlignment="1" applyProtection="0">
      <alignment horizontal="center" vertical="center"/>
    </xf>
    <xf numFmtId="1" fontId="8" fillId="2" borderId="10" applyNumberFormat="1" applyFont="1" applyFill="1" applyBorder="1" applyAlignment="1" applyProtection="0">
      <alignment horizontal="center" vertical="center"/>
    </xf>
    <xf numFmtId="61" fontId="8" fillId="2" borderId="10" applyNumberFormat="1" applyFont="1" applyFill="1" applyBorder="1" applyAlignment="1" applyProtection="0">
      <alignment horizontal="center" vertical="center"/>
    </xf>
    <xf numFmtId="60" fontId="7" fillId="2" borderId="10" applyNumberFormat="1" applyFont="1" applyFill="1" applyBorder="1" applyAlignment="1" applyProtection="0">
      <alignment horizontal="center" vertical="center"/>
    </xf>
    <xf numFmtId="60" fontId="7" fillId="2" borderId="7" applyNumberFormat="1" applyFont="1" applyFill="1" applyBorder="1" applyAlignment="1" applyProtection="0">
      <alignment horizontal="center" vertical="center"/>
    </xf>
    <xf numFmtId="1" fontId="3" fillId="2" borderId="11" applyNumberFormat="1" applyFont="1" applyFill="1" applyBorder="1" applyAlignment="1" applyProtection="0">
      <alignment vertical="bottom"/>
    </xf>
    <xf numFmtId="1" fontId="3" fillId="2" borderId="38" applyNumberFormat="1" applyFont="1" applyFill="1" applyBorder="1" applyAlignment="1" applyProtection="0">
      <alignment vertical="bottom"/>
    </xf>
    <xf numFmtId="49" fontId="58" fillId="3" borderId="2" applyNumberFormat="1" applyFont="1" applyFill="1" applyBorder="1" applyAlignment="1" applyProtection="0">
      <alignment horizontal="left" vertical="center" wrapText="1"/>
    </xf>
    <xf numFmtId="1" fontId="58" fillId="3" borderId="2" applyNumberFormat="1" applyFont="1" applyFill="1" applyBorder="1" applyAlignment="1" applyProtection="0">
      <alignment horizontal="left" vertical="center" wrapText="1"/>
    </xf>
    <xf numFmtId="49" fontId="9" fillId="3" borderId="2" applyNumberFormat="1" applyFont="1" applyFill="1" applyBorder="1" applyAlignment="1" applyProtection="0">
      <alignment horizontal="center" vertical="center" wrapText="1"/>
    </xf>
    <xf numFmtId="49" fontId="9" fillId="2" borderId="2" applyNumberFormat="1" applyFont="1" applyFill="1" applyBorder="1" applyAlignment="1" applyProtection="0">
      <alignment horizontal="left" vertical="center"/>
    </xf>
    <xf numFmtId="65" fontId="35" fillId="16" borderId="2" applyNumberFormat="1" applyFont="1" applyFill="1" applyBorder="1" applyAlignment="1" applyProtection="0">
      <alignment horizontal="right" vertical="center"/>
    </xf>
    <xf numFmtId="4" fontId="9" fillId="2" borderId="2" applyNumberFormat="1" applyFont="1" applyFill="1" applyBorder="1" applyAlignment="1" applyProtection="0">
      <alignment horizontal="right" vertical="center"/>
    </xf>
    <xf numFmtId="62" fontId="37" fillId="16" borderId="2" applyNumberFormat="1" applyFont="1" applyFill="1" applyBorder="1" applyAlignment="1" applyProtection="0">
      <alignment horizontal="right" vertical="center"/>
    </xf>
    <xf numFmtId="3" fontId="9" fillId="2" borderId="2" applyNumberFormat="1" applyFont="1" applyFill="1" applyBorder="1" applyAlignment="1" applyProtection="0">
      <alignment horizontal="right" vertical="center"/>
    </xf>
    <xf numFmtId="59" fontId="37" fillId="16" borderId="2" applyNumberFormat="1" applyFont="1" applyFill="1" applyBorder="1" applyAlignment="1" applyProtection="0">
      <alignment horizontal="right" vertical="center"/>
    </xf>
    <xf numFmtId="63" fontId="35" fillId="16" borderId="2" applyNumberFormat="1" applyFont="1" applyFill="1" applyBorder="1" applyAlignment="1" applyProtection="0">
      <alignment horizontal="right" vertical="center"/>
    </xf>
    <xf numFmtId="64" fontId="35" fillId="16" borderId="2" applyNumberFormat="1" applyFont="1" applyFill="1" applyBorder="1" applyAlignment="1" applyProtection="0">
      <alignment horizontal="right" vertical="center"/>
    </xf>
    <xf numFmtId="49" fontId="9" fillId="2" borderId="2" applyNumberFormat="1" applyFont="1" applyFill="1" applyBorder="1" applyAlignment="1" applyProtection="0">
      <alignment horizontal="center" vertical="center"/>
    </xf>
    <xf numFmtId="49" fontId="59" fillId="23" borderId="2" applyNumberFormat="1" applyFont="1" applyFill="1" applyBorder="1" applyAlignment="1" applyProtection="0">
      <alignment horizontal="center" vertical="center" wrapText="1"/>
    </xf>
    <xf numFmtId="49" fontId="60" fillId="2" borderId="2" applyNumberFormat="1" applyFont="1" applyFill="1" applyBorder="1" applyAlignment="1" applyProtection="0">
      <alignment horizontal="center" vertical="center" wrapText="1"/>
    </xf>
    <xf numFmtId="49" fontId="60" fillId="24" borderId="2" applyNumberFormat="1" applyFont="1" applyFill="1" applyBorder="1" applyAlignment="1" applyProtection="0">
      <alignment horizontal="center" vertical="center" wrapText="1"/>
    </xf>
    <xf numFmtId="49" fontId="60" fillId="25" borderId="2" applyNumberFormat="1" applyFont="1" applyFill="1" applyBorder="1" applyAlignment="1" applyProtection="0">
      <alignment horizontal="center" vertical="center" wrapText="1"/>
    </xf>
    <xf numFmtId="49" fontId="61" fillId="26" borderId="2" applyNumberFormat="1" applyFont="1" applyFill="1" applyBorder="1" applyAlignment="1" applyProtection="0">
      <alignment horizontal="center" vertical="center" wrapText="1"/>
    </xf>
    <xf numFmtId="49" fontId="25" fillId="2" borderId="2" applyNumberFormat="1" applyFont="1" applyFill="1" applyBorder="1" applyAlignment="1" applyProtection="0">
      <alignment horizontal="center" vertical="center"/>
    </xf>
    <xf numFmtId="49" fontId="25" fillId="24" borderId="2" applyNumberFormat="1" applyFont="1" applyFill="1" applyBorder="1" applyAlignment="1" applyProtection="0">
      <alignment horizontal="center" vertical="center" wrapText="1"/>
    </xf>
    <xf numFmtId="49" fontId="62" fillId="24" borderId="2" applyNumberFormat="1" applyFont="1" applyFill="1" applyBorder="1" applyAlignment="1" applyProtection="0">
      <alignment horizontal="center" vertical="center" wrapText="1"/>
    </xf>
    <xf numFmtId="49" fontId="9" fillId="2" borderId="2" applyNumberFormat="1" applyFont="1" applyFill="1" applyBorder="1" applyAlignment="1" applyProtection="0">
      <alignment horizontal="right" vertical="center"/>
    </xf>
    <xf numFmtId="49" fontId="63" fillId="27" borderId="2" applyNumberFormat="1" applyFont="1" applyFill="1" applyBorder="1" applyAlignment="1" applyProtection="0">
      <alignment horizontal="center" vertical="center" wrapText="1"/>
    </xf>
    <xf numFmtId="49" fontId="9" fillId="15" borderId="2" applyNumberFormat="1" applyFont="1" applyFill="1" applyBorder="1" applyAlignment="1" applyProtection="0">
      <alignment horizontal="left" vertical="center"/>
    </xf>
    <xf numFmtId="65" fontId="35" fillId="15" borderId="2" applyNumberFormat="1" applyFont="1" applyFill="1" applyBorder="1" applyAlignment="1" applyProtection="0">
      <alignment horizontal="right" vertical="center"/>
    </xf>
    <xf numFmtId="4" fontId="9" fillId="15" borderId="2" applyNumberFormat="1" applyFont="1" applyFill="1" applyBorder="1" applyAlignment="1" applyProtection="0">
      <alignment horizontal="right" vertical="center"/>
    </xf>
    <xf numFmtId="62" fontId="37" fillId="15" borderId="2" applyNumberFormat="1" applyFont="1" applyFill="1" applyBorder="1" applyAlignment="1" applyProtection="0">
      <alignment horizontal="right" vertical="center"/>
    </xf>
    <xf numFmtId="3" fontId="9" fillId="15" borderId="2" applyNumberFormat="1" applyFont="1" applyFill="1" applyBorder="1" applyAlignment="1" applyProtection="0">
      <alignment horizontal="right" vertical="center"/>
    </xf>
    <xf numFmtId="59" fontId="37" fillId="15" borderId="2" applyNumberFormat="1" applyFont="1" applyFill="1" applyBorder="1" applyAlignment="1" applyProtection="0">
      <alignment horizontal="right" vertical="center"/>
    </xf>
    <xf numFmtId="63" fontId="35" fillId="15" borderId="2" applyNumberFormat="1" applyFont="1" applyFill="1" applyBorder="1" applyAlignment="1" applyProtection="0">
      <alignment horizontal="right" vertical="center"/>
    </xf>
    <xf numFmtId="64" fontId="35" fillId="15" borderId="2" applyNumberFormat="1" applyFont="1" applyFill="1" applyBorder="1" applyAlignment="1" applyProtection="0">
      <alignment horizontal="right" vertical="center"/>
    </xf>
    <xf numFmtId="49" fontId="9" fillId="15" borderId="2" applyNumberFormat="1" applyFont="1" applyFill="1" applyBorder="1" applyAlignment="1" applyProtection="0">
      <alignment horizontal="center" vertical="center"/>
    </xf>
    <xf numFmtId="49" fontId="63" fillId="15" borderId="2" applyNumberFormat="1" applyFont="1" applyFill="1" applyBorder="1" applyAlignment="1" applyProtection="0">
      <alignment horizontal="center" vertical="center" wrapText="1"/>
    </xf>
    <xf numFmtId="49" fontId="60" fillId="15" borderId="2" applyNumberFormat="1" applyFont="1" applyFill="1" applyBorder="1" applyAlignment="1" applyProtection="0">
      <alignment horizontal="center" vertical="center" wrapText="1"/>
    </xf>
    <xf numFmtId="49" fontId="64" fillId="15" borderId="2" applyNumberFormat="1" applyFont="1" applyFill="1" applyBorder="1" applyAlignment="1" applyProtection="0">
      <alignment horizontal="center" vertical="center" wrapText="1"/>
    </xf>
    <xf numFmtId="1" fontId="3" fillId="2" borderId="39" applyNumberFormat="1" applyFont="1" applyFill="1" applyBorder="1" applyAlignment="1" applyProtection="0">
      <alignment vertical="bottom"/>
    </xf>
    <xf numFmtId="49" fontId="9" fillId="3" borderId="2" applyNumberFormat="1" applyFont="1" applyFill="1" applyBorder="1" applyAlignment="1" applyProtection="0">
      <alignment horizontal="left" vertical="center"/>
    </xf>
    <xf numFmtId="1" fontId="9" fillId="3" borderId="2" applyNumberFormat="1" applyFont="1" applyFill="1" applyBorder="1" applyAlignment="1" applyProtection="0">
      <alignment horizontal="right" vertical="center"/>
    </xf>
    <xf numFmtId="65" fontId="9" fillId="3" borderId="2" applyNumberFormat="1" applyFont="1" applyFill="1" applyBorder="1" applyAlignment="1" applyProtection="0">
      <alignment horizontal="right" vertical="center"/>
    </xf>
    <xf numFmtId="3" fontId="9" fillId="3" borderId="2" applyNumberFormat="1" applyFont="1" applyFill="1" applyBorder="1" applyAlignment="1" applyProtection="0">
      <alignment horizontal="right" vertical="center"/>
    </xf>
    <xf numFmtId="66" fontId="9" fillId="3" borderId="2" applyNumberFormat="1" applyFont="1" applyFill="1" applyBorder="1" applyAlignment="1" applyProtection="0">
      <alignment horizontal="right" vertical="center"/>
    </xf>
    <xf numFmtId="0" fontId="0" applyNumberFormat="1" applyFont="1" applyFill="0" applyBorder="0" applyAlignment="1" applyProtection="0">
      <alignment vertical="bottom"/>
    </xf>
    <xf numFmtId="49" fontId="45" fillId="3" borderId="2" applyNumberFormat="1" applyFont="1" applyFill="1" applyBorder="1" applyAlignment="1" applyProtection="0">
      <alignment horizontal="center" vertical="center" wrapText="1"/>
    </xf>
    <xf numFmtId="1" fontId="45" fillId="3" borderId="2" applyNumberFormat="1" applyFont="1" applyFill="1" applyBorder="1" applyAlignment="1" applyProtection="0">
      <alignment horizontal="center" vertical="center" wrapText="1"/>
    </xf>
    <xf numFmtId="1" fontId="3" fillId="2" borderId="13" applyNumberFormat="1" applyFont="1" applyFill="1" applyBorder="1" applyAlignment="1" applyProtection="0">
      <alignment vertical="bottom"/>
    </xf>
    <xf numFmtId="1" fontId="3" fillId="2" borderId="40" applyNumberFormat="1" applyFont="1" applyFill="1" applyBorder="1" applyAlignment="1" applyProtection="0">
      <alignment vertical="bottom"/>
    </xf>
    <xf numFmtId="1" fontId="60" fillId="2" borderId="2" applyNumberFormat="1" applyFont="1" applyFill="1" applyBorder="1" applyAlignment="1" applyProtection="0">
      <alignment horizontal="center" vertical="center" wrapText="1"/>
    </xf>
    <xf numFmtId="49" fontId="33" fillId="2" borderId="2" applyNumberFormat="1" applyFont="1" applyFill="1" applyBorder="1" applyAlignment="1" applyProtection="0">
      <alignment horizontal="center" vertical="center" wrapText="1"/>
    </xf>
    <xf numFmtId="65" fontId="9" fillId="15" borderId="2" applyNumberFormat="1" applyFont="1" applyFill="1" applyBorder="1" applyAlignment="1" applyProtection="0">
      <alignment horizontal="right" vertical="center"/>
    </xf>
    <xf numFmtId="66" fontId="22" fillId="15" borderId="2" applyNumberFormat="1" applyFont="1" applyFill="1" applyBorder="1" applyAlignment="1" applyProtection="0">
      <alignment horizontal="right" vertical="center"/>
    </xf>
    <xf numFmtId="67" fontId="22" fillId="15" borderId="2" applyNumberFormat="1" applyFont="1" applyFill="1" applyBorder="1" applyAlignment="1" applyProtection="0">
      <alignment horizontal="right" vertical="center"/>
    </xf>
    <xf numFmtId="49" fontId="6" fillId="2" borderId="2" applyNumberFormat="1" applyFont="1" applyFill="1" applyBorder="1" applyAlignment="1" applyProtection="0">
      <alignment horizontal="left" vertical="center"/>
    </xf>
    <xf numFmtId="49" fontId="65" fillId="2" borderId="2" applyNumberFormat="1" applyFont="1" applyFill="1" applyBorder="1" applyAlignment="1" applyProtection="0">
      <alignment horizontal="left" vertical="center" wrapText="1"/>
    </xf>
    <xf numFmtId="1" fontId="65" fillId="2" borderId="2" applyNumberFormat="1" applyFont="1" applyFill="1" applyBorder="1" applyAlignment="1" applyProtection="0">
      <alignment horizontal="left" vertical="center" wrapText="1"/>
    </xf>
    <xf numFmtId="66" fontId="25" fillId="15" borderId="2" applyNumberFormat="1" applyFont="1" applyFill="1" applyBorder="1" applyAlignment="1" applyProtection="0">
      <alignment horizontal="right" vertical="center"/>
    </xf>
    <xf numFmtId="67" fontId="25" fillId="15" borderId="2" applyNumberFormat="1" applyFont="1" applyFill="1" applyBorder="1" applyAlignment="1" applyProtection="0">
      <alignment horizontal="right" vertical="center"/>
    </xf>
    <xf numFmtId="65" fontId="9" fillId="2" borderId="2" applyNumberFormat="1" applyFont="1" applyFill="1" applyBorder="1" applyAlignment="1" applyProtection="0">
      <alignment horizontal="right" vertical="center"/>
    </xf>
    <xf numFmtId="66" fontId="22" fillId="2" borderId="2" applyNumberFormat="1" applyFont="1" applyFill="1" applyBorder="1" applyAlignment="1" applyProtection="0">
      <alignment horizontal="right" vertical="center"/>
    </xf>
    <xf numFmtId="67" fontId="22" fillId="2" borderId="2" applyNumberFormat="1" applyFont="1" applyFill="1" applyBorder="1" applyAlignment="1" applyProtection="0">
      <alignment horizontal="right" vertical="center"/>
    </xf>
    <xf numFmtId="49" fontId="25" fillId="2" borderId="2" applyNumberFormat="1" applyFont="1" applyFill="1" applyBorder="1" applyAlignment="1" applyProtection="0">
      <alignment horizontal="left" vertical="center"/>
    </xf>
    <xf numFmtId="49" fontId="6" fillId="2" borderId="2"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1" fontId="3" fillId="2" borderId="41" applyNumberFormat="1" applyFont="1" applyFill="1" applyBorder="1" applyAlignment="1" applyProtection="0">
      <alignment vertical="bottom"/>
    </xf>
    <xf numFmtId="49" fontId="66" fillId="27" borderId="41" applyNumberFormat="1" applyFont="1" applyFill="1" applyBorder="1" applyAlignment="1" applyProtection="0">
      <alignment horizontal="left" vertical="center" wrapText="1"/>
    </xf>
    <xf numFmtId="1" fontId="66" fillId="27" borderId="41" applyNumberFormat="1" applyFont="1" applyFill="1" applyBorder="1" applyAlignment="1" applyProtection="0">
      <alignment horizontal="left" vertical="center" wrapText="1"/>
    </xf>
    <xf numFmtId="49" fontId="5" fillId="3" borderId="41" applyNumberFormat="1" applyFont="1" applyFill="1" applyBorder="1" applyAlignment="1" applyProtection="0">
      <alignment horizontal="left" vertical="center" wrapText="1"/>
    </xf>
    <xf numFmtId="1" fontId="5" fillId="3" borderId="41" applyNumberFormat="1" applyFont="1" applyFill="1" applyBorder="1" applyAlignment="1" applyProtection="0">
      <alignment horizontal="left" vertical="center" wrapText="1"/>
    </xf>
    <xf numFmtId="49" fontId="58" fillId="3" borderId="41" applyNumberFormat="1" applyFont="1" applyFill="1" applyBorder="1" applyAlignment="1" applyProtection="0">
      <alignment horizontal="left" vertical="center" wrapText="1"/>
    </xf>
    <xf numFmtId="49" fontId="67" fillId="26" borderId="41" applyNumberFormat="1" applyFont="1" applyFill="1" applyBorder="1" applyAlignment="1" applyProtection="0">
      <alignment horizontal="left" vertical="center" wrapText="1"/>
    </xf>
    <xf numFmtId="1" fontId="67" fillId="26" borderId="41" applyNumberFormat="1" applyFont="1" applyFill="1" applyBorder="1" applyAlignment="1" applyProtection="0">
      <alignment horizontal="left" vertical="center" wrapText="1"/>
    </xf>
    <xf numFmtId="49" fontId="9" fillId="3" borderId="41" applyNumberFormat="1" applyFont="1" applyFill="1" applyBorder="1" applyAlignment="1" applyProtection="0">
      <alignment horizontal="left" vertical="top" wrapText="1"/>
    </xf>
    <xf numFmtId="49" fontId="68" fillId="3" borderId="41" applyNumberFormat="1" applyFont="1" applyFill="1" applyBorder="1" applyAlignment="1" applyProtection="0">
      <alignment horizontal="left" vertical="top" wrapText="1"/>
    </xf>
    <xf numFmtId="1" fontId="68" fillId="3" borderId="41" applyNumberFormat="1" applyFont="1" applyFill="1" applyBorder="1" applyAlignment="1" applyProtection="0">
      <alignment horizontal="left" vertical="top" wrapText="1"/>
    </xf>
    <xf numFmtId="49" fontId="14" fillId="24" borderId="41" applyNumberFormat="1" applyFont="1" applyFill="1" applyBorder="1" applyAlignment="1" applyProtection="0">
      <alignment horizontal="left" vertical="top" wrapText="1"/>
    </xf>
    <xf numFmtId="49" fontId="68" fillId="24" borderId="41" applyNumberFormat="1" applyFont="1" applyFill="1" applyBorder="1" applyAlignment="1" applyProtection="0">
      <alignment horizontal="left" vertical="top" wrapText="1"/>
    </xf>
    <xf numFmtId="1" fontId="68" fillId="24" borderId="41" applyNumberFormat="1" applyFont="1" applyFill="1" applyBorder="1" applyAlignment="1" applyProtection="0">
      <alignment horizontal="left" vertical="top" wrapText="1"/>
    </xf>
    <xf numFmtId="49" fontId="69" fillId="23" borderId="41" applyNumberFormat="1" applyFont="1" applyFill="1" applyBorder="1" applyAlignment="1" applyProtection="0">
      <alignment horizontal="left" vertical="top" wrapText="1"/>
    </xf>
    <xf numFmtId="49" fontId="68" fillId="23" borderId="41" applyNumberFormat="1" applyFont="1" applyFill="1" applyBorder="1" applyAlignment="1" applyProtection="0">
      <alignment horizontal="left" vertical="top" wrapText="1"/>
    </xf>
    <xf numFmtId="1" fontId="68" fillId="23" borderId="41" applyNumberFormat="1" applyFont="1" applyFill="1" applyBorder="1" applyAlignment="1" applyProtection="0">
      <alignment horizontal="left" vertical="top" wrapText="1"/>
    </xf>
    <xf numFmtId="49" fontId="25" fillId="26" borderId="41" applyNumberFormat="1" applyFont="1" applyFill="1" applyBorder="1" applyAlignment="1" applyProtection="0">
      <alignment horizontal="left" vertical="top" wrapText="1"/>
    </xf>
    <xf numFmtId="49" fontId="68" fillId="26" borderId="41" applyNumberFormat="1" applyFont="1" applyFill="1" applyBorder="1" applyAlignment="1" applyProtection="0">
      <alignment horizontal="left" vertical="top" wrapText="1"/>
    </xf>
    <xf numFmtId="1" fontId="68" fillId="26" borderId="41" applyNumberFormat="1" applyFont="1" applyFill="1" applyBorder="1" applyAlignment="1" applyProtection="0">
      <alignment horizontal="left" vertical="top" wrapText="1"/>
    </xf>
    <xf numFmtId="49" fontId="70" fillId="23" borderId="41" applyNumberFormat="1" applyFont="1" applyFill="1" applyBorder="1" applyAlignment="1" applyProtection="0">
      <alignment horizontal="left" vertical="center" wrapText="1"/>
    </xf>
    <xf numFmtId="1" fontId="70" fillId="23" borderId="41" applyNumberFormat="1" applyFont="1" applyFill="1" applyBorder="1" applyAlignment="1" applyProtection="0">
      <alignment horizontal="left" vertical="center" wrapText="1"/>
    </xf>
    <xf numFmtId="49" fontId="71" fillId="25" borderId="41" applyNumberFormat="1" applyFont="1" applyFill="1" applyBorder="1" applyAlignment="1" applyProtection="0">
      <alignment horizontal="left" vertical="center" wrapText="1"/>
    </xf>
    <xf numFmtId="1" fontId="71" fillId="25" borderId="41" applyNumberFormat="1" applyFont="1" applyFill="1" applyBorder="1" applyAlignment="1" applyProtection="0">
      <alignment horizontal="left" vertical="center" wrapText="1"/>
    </xf>
    <xf numFmtId="49" fontId="72" fillId="24" borderId="41" applyNumberFormat="1" applyFont="1" applyFill="1" applyBorder="1" applyAlignment="1" applyProtection="0">
      <alignment horizontal="left" vertical="center" wrapText="1"/>
    </xf>
    <xf numFmtId="1" fontId="72" fillId="24" borderId="41" applyNumberFormat="1" applyFont="1" applyFill="1" applyBorder="1" applyAlignment="1" applyProtection="0">
      <alignment horizontal="left" vertical="center" wrapText="1"/>
    </xf>
    <xf numFmtId="49" fontId="9" fillId="28" borderId="41" applyNumberFormat="1" applyFont="1" applyFill="1" applyBorder="1" applyAlignment="1" applyProtection="0">
      <alignment horizontal="left" vertical="top" wrapText="1"/>
    </xf>
    <xf numFmtId="1" fontId="9" fillId="28" borderId="41" applyNumberFormat="1" applyFont="1" applyFill="1" applyBorder="1" applyAlignment="1" applyProtection="0">
      <alignment horizontal="left" vertical="top" wrapText="1"/>
    </xf>
    <xf numFmtId="49" fontId="6" fillId="3" borderId="41" applyNumberFormat="1" applyFont="1" applyFill="1" applyBorder="1" applyAlignment="1" applyProtection="0">
      <alignment vertical="bottom"/>
    </xf>
    <xf numFmtId="1" fontId="6" fillId="3" borderId="41" applyNumberFormat="1" applyFont="1" applyFill="1" applyBorder="1" applyAlignment="1" applyProtection="0">
      <alignment vertical="bottom"/>
    </xf>
    <xf numFmtId="49" fontId="73" fillId="25" borderId="41" applyNumberFormat="1" applyFont="1" applyFill="1" applyBorder="1" applyAlignment="1" applyProtection="0">
      <alignment horizontal="left" vertical="center" wrapText="1"/>
    </xf>
    <xf numFmtId="1" fontId="73" fillId="25" borderId="41" applyNumberFormat="1" applyFont="1" applyFill="1" applyBorder="1" applyAlignment="1" applyProtection="0">
      <alignment horizontal="left" vertical="center" wrapText="1"/>
    </xf>
    <xf numFmtId="49" fontId="28" fillId="24" borderId="41" applyNumberFormat="1" applyFont="1" applyFill="1" applyBorder="1" applyAlignment="1" applyProtection="0">
      <alignment horizontal="left" vertical="center" wrapText="1"/>
    </xf>
    <xf numFmtId="49" fontId="9" fillId="24" borderId="41" applyNumberFormat="1" applyFont="1" applyFill="1" applyBorder="1" applyAlignment="1" applyProtection="0">
      <alignment horizontal="left" vertical="center" wrapText="1"/>
    </xf>
    <xf numFmtId="0" fontId="0" fillId="2" borderId="41" applyNumberFormat="0" applyFont="1" applyFill="1" applyBorder="1" applyAlignment="1" applyProtection="0">
      <alignment vertical="bottom"/>
    </xf>
    <xf numFmtId="49" fontId="22" fillId="25" borderId="41" applyNumberFormat="1" applyFont="1" applyFill="1" applyBorder="1" applyAlignment="1" applyProtection="0">
      <alignment horizontal="left" vertical="center" wrapText="1"/>
    </xf>
    <xf numFmtId="49" fontId="9" fillId="25" borderId="41" applyNumberFormat="1" applyFont="1" applyFill="1" applyBorder="1" applyAlignment="1" applyProtection="0">
      <alignment horizontal="left" vertical="center" wrapText="1"/>
    </xf>
    <xf numFmtId="49" fontId="25" fillId="26" borderId="41" applyNumberFormat="1" applyFont="1" applyFill="1" applyBorder="1" applyAlignment="1" applyProtection="0">
      <alignment horizontal="left" vertical="center" wrapText="1"/>
    </xf>
    <xf numFmtId="49" fontId="9" fillId="26" borderId="41"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0" fontId="0" fillId="2" borderId="42" applyNumberFormat="0" applyFont="1" applyFill="1" applyBorder="1" applyAlignment="1" applyProtection="0">
      <alignment vertical="bottom"/>
    </xf>
    <xf numFmtId="49" fontId="29" fillId="12" borderId="43" applyNumberFormat="1" applyFont="1" applyFill="1" applyBorder="1" applyAlignment="1" applyProtection="0">
      <alignment horizontal="left" vertical="center"/>
    </xf>
    <xf numFmtId="1" fontId="29" fillId="12" borderId="43" applyNumberFormat="1" applyFont="1" applyFill="1" applyBorder="1" applyAlignment="1" applyProtection="0">
      <alignment horizontal="left" vertical="center"/>
    </xf>
    <xf numFmtId="1" fontId="29" fillId="12" borderId="10" applyNumberFormat="1" applyFont="1" applyFill="1" applyBorder="1" applyAlignment="1" applyProtection="0">
      <alignment horizontal="left" vertical="center"/>
    </xf>
    <xf numFmtId="1" fontId="29" fillId="12" borderId="7" applyNumberFormat="1" applyFont="1" applyFill="1" applyBorder="1" applyAlignment="1" applyProtection="0">
      <alignment horizontal="left" vertical="center"/>
    </xf>
    <xf numFmtId="0" fontId="0" fillId="2" borderId="44" applyNumberFormat="0" applyFont="1" applyFill="1" applyBorder="1" applyAlignment="1" applyProtection="0">
      <alignment vertical="bottom"/>
    </xf>
    <xf numFmtId="49" fontId="33" fillId="12" borderId="45" applyNumberFormat="1" applyFont="1" applyFill="1" applyBorder="1" applyAlignment="1" applyProtection="0">
      <alignment horizontal="left" vertical="center" wrapText="1"/>
    </xf>
    <xf numFmtId="0" fontId="0" fillId="2" borderId="46" applyNumberFormat="0" applyFont="1" applyFill="1" applyBorder="1" applyAlignment="1" applyProtection="0">
      <alignment vertical="bottom"/>
    </xf>
    <xf numFmtId="0" fontId="0" fillId="2" borderId="47" applyNumberFormat="0" applyFont="1" applyFill="1" applyBorder="1" applyAlignment="1" applyProtection="0">
      <alignment vertical="bottom"/>
    </xf>
    <xf numFmtId="49" fontId="23" fillId="29" borderId="45" applyNumberFormat="1" applyFont="1" applyFill="1" applyBorder="1" applyAlignment="1" applyProtection="0">
      <alignment horizontal="left" vertical="center" wrapText="1"/>
    </xf>
    <xf numFmtId="0" fontId="0" fillId="2" borderId="48" applyNumberFormat="0" applyFont="1" applyFill="1" applyBorder="1" applyAlignment="1" applyProtection="0">
      <alignment vertical="bottom"/>
    </xf>
    <xf numFmtId="49" fontId="23" fillId="20" borderId="45" applyNumberFormat="1" applyFont="1" applyFill="1" applyBorder="1" applyAlignment="1" applyProtection="0">
      <alignment horizontal="left" vertical="center" wrapText="1"/>
    </xf>
    <xf numFmtId="49" fontId="23" fillId="30" borderId="45" applyNumberFormat="1" applyFont="1" applyFill="1" applyBorder="1" applyAlignment="1" applyProtection="0">
      <alignment horizontal="left" vertical="center" wrapText="1"/>
    </xf>
    <xf numFmtId="0" fontId="0" fillId="2" borderId="49" applyNumberFormat="0" applyFont="1" applyFill="1" applyBorder="1" applyAlignment="1" applyProtection="0">
      <alignment vertical="bottom"/>
    </xf>
    <xf numFmtId="0" fontId="0" fillId="2" borderId="50" applyNumberFormat="0" applyFont="1" applyFill="1" applyBorder="1" applyAlignment="1" applyProtection="0">
      <alignment vertical="bottom"/>
    </xf>
    <xf numFmtId="49" fontId="23" fillId="17" borderId="45" applyNumberFormat="1" applyFont="1" applyFill="1" applyBorder="1" applyAlignment="1" applyProtection="0">
      <alignment horizontal="left" vertical="center" wrapText="1"/>
    </xf>
    <xf numFmtId="49" fontId="23" fillId="16" borderId="45" applyNumberFormat="1" applyFont="1" applyFill="1" applyBorder="1" applyAlignment="1" applyProtection="0">
      <alignment horizontal="left" vertical="center" wrapText="1"/>
    </xf>
    <xf numFmtId="49" fontId="23" fillId="15" borderId="45" applyNumberFormat="1" applyFont="1" applyFill="1" applyBorder="1" applyAlignment="1" applyProtection="0">
      <alignment horizontal="left" vertical="center" wrapText="1"/>
    </xf>
    <xf numFmtId="49" fontId="23" fillId="21" borderId="45" applyNumberFormat="1" applyFont="1" applyFill="1" applyBorder="1" applyAlignment="1" applyProtection="0">
      <alignment horizontal="left" vertical="center" wrapText="1"/>
    </xf>
    <xf numFmtId="1" fontId="23" fillId="18" borderId="45" applyNumberFormat="1" applyFont="1" applyFill="1" applyBorder="1" applyAlignment="1" applyProtection="0">
      <alignment horizontal="left" vertical="center" wrapText="1"/>
    </xf>
    <xf numFmtId="49" fontId="23" fillId="18" borderId="45" applyNumberFormat="1" applyFont="1" applyFill="1" applyBorder="1" applyAlignment="1" applyProtection="0">
      <alignment horizontal="left" vertical="center" wrapText="1"/>
    </xf>
    <xf numFmtId="1" fontId="23" fillId="21" borderId="45" applyNumberFormat="1" applyFont="1" applyFill="1" applyBorder="1" applyAlignment="1" applyProtection="0">
      <alignment horizontal="left" vertical="center" wrapText="1"/>
    </xf>
    <xf numFmtId="1" fontId="23" fillId="22" borderId="45" applyNumberFormat="1" applyFont="1" applyFill="1" applyBorder="1" applyAlignment="1" applyProtection="0">
      <alignment horizontal="left" vertical="center" wrapText="1"/>
    </xf>
    <xf numFmtId="49" fontId="23" fillId="22" borderId="45" applyNumberFormat="1" applyFont="1" applyFill="1" applyBorder="1" applyAlignment="1" applyProtection="0">
      <alignment horizontal="left" vertical="center" wrapText="1"/>
    </xf>
    <xf numFmtId="1" fontId="23" fillId="19" borderId="45" applyNumberFormat="1" applyFont="1" applyFill="1" applyBorder="1" applyAlignment="1" applyProtection="0">
      <alignment horizontal="left" vertical="center" wrapText="1"/>
    </xf>
    <xf numFmtId="49" fontId="23" fillId="19" borderId="45" applyNumberFormat="1" applyFont="1" applyFill="1" applyBorder="1" applyAlignment="1" applyProtection="0">
      <alignment horizontal="left" vertical="center" wrapText="1"/>
    </xf>
    <xf numFmtId="1" fontId="23" fillId="31" borderId="45" applyNumberFormat="1" applyFont="1" applyFill="1" applyBorder="1" applyAlignment="1" applyProtection="0">
      <alignment horizontal="left" vertical="center" wrapText="1"/>
    </xf>
    <xf numFmtId="49" fontId="23" fillId="31" borderId="45" applyNumberFormat="1" applyFont="1" applyFill="1" applyBorder="1" applyAlignment="1" applyProtection="0">
      <alignment horizontal="left" vertical="center" wrapText="1"/>
    </xf>
    <xf numFmtId="49" fontId="42" fillId="11" borderId="16" applyNumberFormat="1" applyFont="1" applyFill="1" applyBorder="1" applyAlignment="1" applyProtection="0">
      <alignment horizontal="left" vertical="center"/>
    </xf>
    <xf numFmtId="1" fontId="42" fillId="11" borderId="16" applyNumberFormat="1" applyFont="1" applyFill="1" applyBorder="1" applyAlignment="1" applyProtection="0">
      <alignment horizontal="left" vertical="center"/>
    </xf>
    <xf numFmtId="1" fontId="42" fillId="11" borderId="17" applyNumberFormat="1" applyFont="1" applyFill="1" applyBorder="1" applyAlignment="1" applyProtection="0">
      <alignment horizontal="left" vertical="center"/>
    </xf>
    <xf numFmtId="0" fontId="0" applyNumberFormat="1" applyFont="1" applyFill="0" applyBorder="0" applyAlignment="1" applyProtection="0">
      <alignment vertical="bottom"/>
    </xf>
    <xf numFmtId="49" fontId="9" fillId="25" borderId="2" applyNumberFormat="1" applyFont="1" applyFill="1" applyBorder="1" applyAlignment="1" applyProtection="0">
      <alignment horizontal="left" vertical="center"/>
    </xf>
    <xf numFmtId="49" fontId="9" fillId="25" borderId="2" applyNumberFormat="1" applyFont="1" applyFill="1" applyBorder="1" applyAlignment="1" applyProtection="0">
      <alignment horizontal="left" vertical="center" wrapText="1"/>
    </xf>
    <xf numFmtId="49" fontId="22" fillId="25" borderId="2" applyNumberFormat="1" applyFont="1" applyFill="1" applyBorder="1" applyAlignment="1" applyProtection="0">
      <alignment horizontal="center" vertical="center"/>
    </xf>
    <xf numFmtId="49" fontId="9" fillId="26" borderId="2" applyNumberFormat="1" applyFont="1" applyFill="1" applyBorder="1" applyAlignment="1" applyProtection="0">
      <alignment horizontal="left" vertical="center"/>
    </xf>
    <xf numFmtId="49" fontId="9" fillId="26" borderId="2" applyNumberFormat="1" applyFont="1" applyFill="1" applyBorder="1" applyAlignment="1" applyProtection="0">
      <alignment horizontal="left" vertical="center" wrapText="1"/>
    </xf>
    <xf numFmtId="49" fontId="74" fillId="26" borderId="2" applyNumberFormat="1" applyFont="1" applyFill="1" applyBorder="1" applyAlignment="1" applyProtection="0">
      <alignment horizontal="center" vertical="center"/>
    </xf>
    <xf numFmtId="49" fontId="9" fillId="24" borderId="2" applyNumberFormat="1" applyFont="1" applyFill="1" applyBorder="1" applyAlignment="1" applyProtection="0">
      <alignment horizontal="left" vertical="center"/>
    </xf>
    <xf numFmtId="49" fontId="9" fillId="24" borderId="2" applyNumberFormat="1" applyFont="1" applyFill="1" applyBorder="1" applyAlignment="1" applyProtection="0">
      <alignment horizontal="left" vertical="center" wrapText="1"/>
    </xf>
    <xf numFmtId="49" fontId="75" fillId="24" borderId="2" applyNumberFormat="1" applyFont="1" applyFill="1" applyBorder="1" applyAlignment="1" applyProtection="0">
      <alignment horizontal="center" vertical="center"/>
    </xf>
    <xf numFmtId="49" fontId="9" fillId="23" borderId="2" applyNumberFormat="1" applyFont="1" applyFill="1" applyBorder="1" applyAlignment="1" applyProtection="0">
      <alignment horizontal="left" vertical="center"/>
    </xf>
    <xf numFmtId="49" fontId="9" fillId="23" borderId="2" applyNumberFormat="1" applyFont="1" applyFill="1" applyBorder="1" applyAlignment="1" applyProtection="0">
      <alignment horizontal="left" vertical="center" wrapText="1"/>
    </xf>
    <xf numFmtId="49" fontId="26" fillId="23" borderId="2" applyNumberFormat="1" applyFont="1" applyFill="1" applyBorder="1" applyAlignment="1" applyProtection="0">
      <alignment horizontal="center" vertical="center"/>
    </xf>
    <xf numFmtId="1" fontId="3" fillId="2" borderId="15" applyNumberFormat="1" applyFont="1" applyFill="1" applyBorder="1" applyAlignment="1" applyProtection="0">
      <alignment vertical="bottom"/>
    </xf>
    <xf numFmtId="49" fontId="6" fillId="2" borderId="16" applyNumberFormat="1" applyFont="1" applyFill="1" applyBorder="1" applyAlignment="1" applyProtection="0">
      <alignment vertical="bottom"/>
    </xf>
    <xf numFmtId="1" fontId="6" fillId="2" borderId="16" applyNumberFormat="1" applyFont="1" applyFill="1" applyBorder="1" applyAlignment="1" applyProtection="0">
      <alignment vertical="bottom"/>
    </xf>
    <xf numFmtId="1" fontId="6" fillId="2" borderId="17" applyNumberFormat="1" applyFont="1" applyFill="1" applyBorder="1" applyAlignment="1" applyProtection="0">
      <alignment vertical="bottom"/>
    </xf>
    <xf numFmtId="0" fontId="0" applyNumberFormat="1" applyFont="1" applyFill="0" applyBorder="0" applyAlignment="1" applyProtection="0">
      <alignment vertical="bottom"/>
    </xf>
    <xf numFmtId="49" fontId="66" fillId="3" borderId="2" applyNumberFormat="1" applyFont="1" applyFill="1" applyBorder="1" applyAlignment="1" applyProtection="0">
      <alignment horizontal="center" vertical="center" wrapText="1"/>
    </xf>
    <xf numFmtId="1" fontId="66" fillId="3" borderId="2" applyNumberFormat="1" applyFont="1" applyFill="1" applyBorder="1" applyAlignment="1" applyProtection="0">
      <alignment horizontal="center" vertical="center" wrapText="1"/>
    </xf>
    <xf numFmtId="49" fontId="58" fillId="25" borderId="2" applyNumberFormat="1" applyFont="1" applyFill="1" applyBorder="1" applyAlignment="1" applyProtection="0">
      <alignment horizontal="left" vertical="center"/>
    </xf>
    <xf numFmtId="49" fontId="76" fillId="25" borderId="2" applyNumberFormat="1" applyFont="1" applyFill="1" applyBorder="1" applyAlignment="1" applyProtection="0">
      <alignment horizontal="center" vertical="center"/>
    </xf>
    <xf numFmtId="59" fontId="76" fillId="25" borderId="2" applyNumberFormat="1" applyFont="1" applyFill="1" applyBorder="1" applyAlignment="1" applyProtection="0">
      <alignment horizontal="right" vertical="center"/>
    </xf>
    <xf numFmtId="3" fontId="76" fillId="25" borderId="2" applyNumberFormat="1" applyFont="1" applyFill="1" applyBorder="1" applyAlignment="1" applyProtection="0">
      <alignment horizontal="right" vertical="center"/>
    </xf>
    <xf numFmtId="49" fontId="58" fillId="24" borderId="2" applyNumberFormat="1" applyFont="1" applyFill="1" applyBorder="1" applyAlignment="1" applyProtection="0">
      <alignment horizontal="left" vertical="center"/>
    </xf>
    <xf numFmtId="49" fontId="77" fillId="24" borderId="2" applyNumberFormat="1" applyFont="1" applyFill="1" applyBorder="1" applyAlignment="1" applyProtection="0">
      <alignment horizontal="center" vertical="center"/>
    </xf>
    <xf numFmtId="59" fontId="77" fillId="24" borderId="2" applyNumberFormat="1" applyFont="1" applyFill="1" applyBorder="1" applyAlignment="1" applyProtection="0">
      <alignment horizontal="right" vertical="center"/>
    </xf>
    <xf numFmtId="3" fontId="77" fillId="24" borderId="2" applyNumberFormat="1" applyFont="1" applyFill="1" applyBorder="1" applyAlignment="1" applyProtection="0">
      <alignment horizontal="right" vertical="center"/>
    </xf>
    <xf numFmtId="49" fontId="58" fillId="2" borderId="2" applyNumberFormat="1" applyFont="1" applyFill="1" applyBorder="1" applyAlignment="1" applyProtection="0">
      <alignment horizontal="left" vertical="center"/>
    </xf>
    <xf numFmtId="49" fontId="78" fillId="2" borderId="2" applyNumberFormat="1" applyFont="1" applyFill="1" applyBorder="1" applyAlignment="1" applyProtection="0">
      <alignment horizontal="center" vertical="center"/>
    </xf>
    <xf numFmtId="59" fontId="78" fillId="2" borderId="2" applyNumberFormat="1" applyFont="1" applyFill="1" applyBorder="1" applyAlignment="1" applyProtection="0">
      <alignment horizontal="right" vertical="center"/>
    </xf>
    <xf numFmtId="3" fontId="78" fillId="2" borderId="2" applyNumberFormat="1" applyFont="1" applyFill="1" applyBorder="1" applyAlignment="1" applyProtection="0">
      <alignment horizontal="right" vertical="center"/>
    </xf>
    <xf numFmtId="49" fontId="58" fillId="26" borderId="2" applyNumberFormat="1" applyFont="1" applyFill="1" applyBorder="1" applyAlignment="1" applyProtection="0">
      <alignment horizontal="left" vertical="center"/>
    </xf>
    <xf numFmtId="49" fontId="79" fillId="26" borderId="2" applyNumberFormat="1" applyFont="1" applyFill="1" applyBorder="1" applyAlignment="1" applyProtection="0">
      <alignment horizontal="center" vertical="center"/>
    </xf>
    <xf numFmtId="59" fontId="79" fillId="26" borderId="2" applyNumberFormat="1" applyFont="1" applyFill="1" applyBorder="1" applyAlignment="1" applyProtection="0">
      <alignment horizontal="right" vertical="center"/>
    </xf>
    <xf numFmtId="3" fontId="79" fillId="26" borderId="2" applyNumberFormat="1" applyFont="1" applyFill="1" applyBorder="1" applyAlignment="1" applyProtection="0">
      <alignment horizontal="right" vertical="center"/>
    </xf>
    <xf numFmtId="49" fontId="80" fillId="26" borderId="2" applyNumberFormat="1" applyFont="1" applyFill="1" applyBorder="1" applyAlignment="1" applyProtection="0">
      <alignment horizontal="center" vertical="center"/>
    </xf>
    <xf numFmtId="59" fontId="80" fillId="26" borderId="2" applyNumberFormat="1" applyFont="1" applyFill="1" applyBorder="1" applyAlignment="1" applyProtection="0">
      <alignment horizontal="right" vertical="center"/>
    </xf>
    <xf numFmtId="3" fontId="80" fillId="26" borderId="2" applyNumberFormat="1" applyFont="1" applyFill="1" applyBorder="1" applyAlignment="1" applyProtection="0">
      <alignment horizontal="right" vertical="center"/>
    </xf>
    <xf numFmtId="49" fontId="60" fillId="3" borderId="2" applyNumberFormat="1" applyFont="1" applyFill="1" applyBorder="1" applyAlignment="1" applyProtection="0">
      <alignment horizontal="center" vertical="center" wrapText="1"/>
    </xf>
    <xf numFmtId="62" fontId="9" fillId="2" borderId="2" applyNumberFormat="1" applyFont="1" applyFill="1" applyBorder="1" applyAlignment="1" applyProtection="0">
      <alignment horizontal="right" vertical="center"/>
    </xf>
    <xf numFmtId="59" fontId="9" fillId="2" borderId="2" applyNumberFormat="1" applyFont="1" applyFill="1" applyBorder="1" applyAlignment="1" applyProtection="0">
      <alignment horizontal="right" vertical="center"/>
    </xf>
    <xf numFmtId="0" fontId="0" applyNumberFormat="1" applyFont="1" applyFill="0" applyBorder="0" applyAlignment="1" applyProtection="0">
      <alignment vertical="bottom"/>
    </xf>
    <xf numFmtId="1" fontId="37" fillId="16" borderId="2" applyNumberFormat="1" applyFont="1" applyFill="1" applyBorder="1" applyAlignment="1" applyProtection="0">
      <alignment horizontal="center" vertical="center"/>
    </xf>
    <xf numFmtId="60" fontId="37" fillId="16" borderId="2" applyNumberFormat="1" applyFont="1" applyFill="1" applyBorder="1" applyAlignment="1" applyProtection="0">
      <alignment horizontal="right" vertical="center"/>
    </xf>
    <xf numFmtId="3" fontId="81" fillId="16" borderId="2" applyNumberFormat="1" applyFont="1" applyFill="1" applyBorder="1" applyAlignment="1" applyProtection="0">
      <alignment horizontal="center" vertical="center"/>
    </xf>
    <xf numFmtId="59" fontId="81" fillId="16" borderId="2" applyNumberFormat="1" applyFont="1" applyFill="1" applyBorder="1" applyAlignment="1" applyProtection="0">
      <alignment horizontal="right" vertical="center"/>
    </xf>
    <xf numFmtId="60" fontId="81" fillId="16" borderId="2" applyNumberFormat="1" applyFont="1" applyFill="1" applyBorder="1" applyAlignment="1" applyProtection="0">
      <alignment horizontal="right" vertical="center"/>
    </xf>
    <xf numFmtId="0" fontId="0" applyNumberFormat="1" applyFont="1" applyFill="0" applyBorder="0" applyAlignment="1" applyProtection="0">
      <alignment vertical="bottom"/>
    </xf>
    <xf numFmtId="1" fontId="3" fillId="2" borderId="20" applyNumberFormat="1" applyFont="1" applyFill="1" applyBorder="1" applyAlignment="1" applyProtection="0">
      <alignment vertical="bottom"/>
    </xf>
    <xf numFmtId="1" fontId="3" fillId="2" borderId="50" applyNumberFormat="1" applyFont="1" applyFill="1" applyBorder="1" applyAlignment="1" applyProtection="0">
      <alignment vertical="bottom"/>
    </xf>
    <xf numFmtId="1" fontId="3" fillId="2" borderId="18" applyNumberFormat="1" applyFont="1" applyFill="1" applyBorder="1" applyAlignment="1" applyProtection="0">
      <alignment vertical="bottom"/>
    </xf>
    <xf numFmtId="49" fontId="57" fillId="2" borderId="10" applyNumberFormat="1" applyFont="1" applyFill="1" applyBorder="1" applyAlignment="1" applyProtection="0">
      <alignment horizontal="left" vertical="center" wrapText="1"/>
    </xf>
    <xf numFmtId="1" fontId="57" fillId="2" borderId="10" applyNumberFormat="1" applyFont="1" applyFill="1" applyBorder="1" applyAlignment="1" applyProtection="0">
      <alignment horizontal="left" vertical="center" wrapText="1"/>
    </xf>
    <xf numFmtId="0" fontId="0" fillId="2" borderId="51" applyNumberFormat="0" applyFont="1" applyFill="1" applyBorder="1" applyAlignment="1" applyProtection="0">
      <alignment vertical="bottom"/>
    </xf>
    <xf numFmtId="49" fontId="6" fillId="2" borderId="10" applyNumberFormat="1" applyFont="1" applyFill="1" applyBorder="1" applyAlignment="1" applyProtection="0">
      <alignment horizontal="left" vertical="center" wrapText="1"/>
    </xf>
    <xf numFmtId="1" fontId="6" fillId="2" borderId="10" applyNumberFormat="1" applyFont="1" applyFill="1" applyBorder="1" applyAlignment="1" applyProtection="0">
      <alignment horizontal="left" vertical="center" wrapText="1"/>
    </xf>
    <xf numFmtId="1" fontId="3" fillId="2" borderId="47" applyNumberFormat="1" applyFont="1" applyFill="1" applyBorder="1" applyAlignment="1" applyProtection="0">
      <alignment vertical="bottom"/>
    </xf>
    <xf numFmtId="49" fontId="26" fillId="23" borderId="10" applyNumberFormat="1" applyFont="1" applyFill="1" applyBorder="1" applyAlignment="1" applyProtection="0">
      <alignment horizontal="left" vertical="center" wrapText="1"/>
    </xf>
    <xf numFmtId="49" fontId="9" fillId="23" borderId="10" applyNumberFormat="1" applyFont="1" applyFill="1" applyBorder="1" applyAlignment="1" applyProtection="0">
      <alignment horizontal="left" vertical="center" wrapText="1"/>
    </xf>
    <xf numFmtId="49" fontId="28" fillId="24" borderId="10" applyNumberFormat="1" applyFont="1" applyFill="1" applyBorder="1" applyAlignment="1" applyProtection="0">
      <alignment horizontal="left" vertical="center" wrapText="1"/>
    </xf>
    <xf numFmtId="49" fontId="9" fillId="24" borderId="10" applyNumberFormat="1" applyFont="1" applyFill="1" applyBorder="1" applyAlignment="1" applyProtection="0">
      <alignment horizontal="left" vertical="center" wrapText="1"/>
    </xf>
    <xf numFmtId="49" fontId="25" fillId="24" borderId="10" applyNumberFormat="1" applyFont="1" applyFill="1" applyBorder="1" applyAlignment="1" applyProtection="0">
      <alignment horizontal="left" vertical="center" wrapText="1"/>
    </xf>
    <xf numFmtId="49" fontId="25" fillId="26" borderId="10" applyNumberFormat="1" applyFont="1" applyFill="1" applyBorder="1" applyAlignment="1" applyProtection="0">
      <alignment horizontal="left" vertical="center" wrapText="1"/>
    </xf>
    <xf numFmtId="49" fontId="9" fillId="26" borderId="10" applyNumberFormat="1" applyFont="1" applyFill="1" applyBorder="1" applyAlignment="1" applyProtection="0">
      <alignment horizontal="left" vertical="center" wrapText="1"/>
    </xf>
    <xf numFmtId="49" fontId="14" fillId="26" borderId="10" applyNumberFormat="1" applyFont="1" applyFill="1" applyBorder="1" applyAlignment="1" applyProtection="0">
      <alignment horizontal="left" vertical="center" wrapText="1"/>
    </xf>
    <xf numFmtId="1" fontId="3" fillId="2" borderId="42" applyNumberFormat="1" applyFont="1" applyFill="1" applyBorder="1" applyAlignment="1" applyProtection="0">
      <alignment vertical="bottom"/>
    </xf>
    <xf numFmtId="49" fontId="6" fillId="3" borderId="16" applyNumberFormat="1" applyFont="1" applyFill="1" applyBorder="1" applyAlignment="1" applyProtection="0">
      <alignment horizontal="left" vertical="center" wrapText="1"/>
    </xf>
    <xf numFmtId="1" fontId="6" fillId="3" borderId="16"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82" fillId="2" borderId="10" applyNumberFormat="1" applyFont="1" applyFill="1" applyBorder="1" applyAlignment="1" applyProtection="0">
      <alignment horizontal="left" vertical="center" wrapText="1"/>
    </xf>
    <xf numFmtId="1" fontId="82" fillId="2" borderId="10" applyNumberFormat="1" applyFont="1" applyFill="1" applyBorder="1" applyAlignment="1" applyProtection="0">
      <alignment horizontal="left" vertical="center" wrapText="1"/>
    </xf>
    <xf numFmtId="1" fontId="14" fillId="26" borderId="10" applyNumberFormat="1" applyFont="1" applyFill="1" applyBorder="1" applyAlignment="1" applyProtection="0">
      <alignment horizontal="left" vertical="center" wrapText="1"/>
    </xf>
    <xf numFmtId="49" fontId="22" fillId="25" borderId="10" applyNumberFormat="1" applyFont="1" applyFill="1" applyBorder="1" applyAlignment="1" applyProtection="0">
      <alignment horizontal="left" vertical="center" wrapText="1"/>
    </xf>
    <xf numFmtId="49" fontId="9" fillId="25" borderId="10" applyNumberFormat="1" applyFont="1" applyFill="1" applyBorder="1" applyAlignment="1" applyProtection="0">
      <alignment horizontal="left" vertical="center" wrapText="1"/>
    </xf>
    <xf numFmtId="49" fontId="26" fillId="26" borderId="10" applyNumberFormat="1" applyFont="1" applyFill="1" applyBorder="1" applyAlignment="1" applyProtection="0">
      <alignment horizontal="left" vertical="center" wrapText="1"/>
    </xf>
    <xf numFmtId="49" fontId="28" fillId="25" borderId="10"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1" fontId="9" fillId="2" borderId="2" applyNumberFormat="1" applyFont="1" applyFill="1" applyBorder="1" applyAlignment="1" applyProtection="0">
      <alignment horizontal="left" vertical="center" wrapText="1"/>
    </xf>
    <xf numFmtId="49" fontId="67" fillId="26" borderId="2" applyNumberFormat="1" applyFont="1" applyFill="1" applyBorder="1" applyAlignment="1" applyProtection="0">
      <alignment horizontal="left" vertical="center" wrapText="1"/>
    </xf>
    <xf numFmtId="1" fontId="67" fillId="26" borderId="2" applyNumberFormat="1" applyFont="1" applyFill="1" applyBorder="1" applyAlignment="1" applyProtection="0">
      <alignment horizontal="left" vertical="center" wrapText="1"/>
    </xf>
    <xf numFmtId="49" fontId="25" fillId="26" borderId="2" applyNumberFormat="1" applyFont="1" applyFill="1" applyBorder="1" applyAlignment="1" applyProtection="0">
      <alignment horizontal="center" vertical="center" wrapText="1"/>
    </xf>
    <xf numFmtId="1" fontId="25" fillId="26" borderId="2" applyNumberFormat="1" applyFont="1" applyFill="1" applyBorder="1" applyAlignment="1" applyProtection="0">
      <alignment horizontal="center" vertical="center" wrapText="1"/>
    </xf>
    <xf numFmtId="49" fontId="9" fillId="2" borderId="2" applyNumberFormat="1" applyFont="1" applyFill="1" applyBorder="1" applyAlignment="1" applyProtection="0">
      <alignment horizontal="center" vertical="center" wrapText="1"/>
    </xf>
    <xf numFmtId="1" fontId="9" fillId="2" borderId="2" applyNumberFormat="1" applyFont="1" applyFill="1" applyBorder="1" applyAlignment="1" applyProtection="0">
      <alignment horizontal="center" vertical="center" wrapText="1"/>
    </xf>
    <xf numFmtId="49" fontId="22" fillId="25" borderId="2" applyNumberFormat="1" applyFont="1" applyFill="1" applyBorder="1" applyAlignment="1" applyProtection="0">
      <alignment horizontal="center" vertical="center" wrapText="1"/>
    </xf>
    <xf numFmtId="1" fontId="22" fillId="25" borderId="2" applyNumberFormat="1" applyFont="1" applyFill="1" applyBorder="1" applyAlignment="1" applyProtection="0">
      <alignment horizontal="center" vertical="center" wrapText="1"/>
    </xf>
    <xf numFmtId="1" fontId="3" fillId="2" borderId="2" applyNumberFormat="1" applyFont="1" applyFill="1" applyBorder="1" applyAlignment="1" applyProtection="0">
      <alignment vertical="bottom"/>
    </xf>
    <xf numFmtId="49" fontId="61" fillId="26" borderId="2" applyNumberFormat="1" applyFont="1" applyFill="1" applyBorder="1" applyAlignment="1" applyProtection="0">
      <alignment horizontal="left" vertical="center" wrapText="1"/>
    </xf>
    <xf numFmtId="1" fontId="61" fillId="26" borderId="2" applyNumberFormat="1" applyFont="1" applyFill="1" applyBorder="1" applyAlignment="1" applyProtection="0">
      <alignment horizontal="left" vertical="center" wrapText="1"/>
    </xf>
    <xf numFmtId="49" fontId="60" fillId="26" borderId="2" applyNumberFormat="1" applyFont="1" applyFill="1" applyBorder="1" applyAlignment="1" applyProtection="0">
      <alignment horizontal="left" vertical="center" wrapText="1"/>
    </xf>
    <xf numFmtId="1" fontId="60" fillId="26" borderId="2" applyNumberFormat="1" applyFont="1" applyFill="1" applyBorder="1" applyAlignment="1" applyProtection="0">
      <alignment horizontal="left" vertical="center" wrapText="1"/>
    </xf>
    <xf numFmtId="49" fontId="60" fillId="25" borderId="2" applyNumberFormat="1" applyFont="1" applyFill="1" applyBorder="1" applyAlignment="1" applyProtection="0">
      <alignment horizontal="left" vertical="center" wrapText="1"/>
    </xf>
    <xf numFmtId="1" fontId="60" fillId="25" borderId="2" applyNumberFormat="1" applyFont="1" applyFill="1" applyBorder="1" applyAlignment="1" applyProtection="0">
      <alignment horizontal="left" vertical="center" wrapText="1"/>
    </xf>
    <xf numFmtId="49" fontId="3" fillId="24" borderId="2" applyNumberFormat="1" applyFont="1" applyFill="1" applyBorder="1" applyAlignment="1" applyProtection="0">
      <alignment horizontal="left" vertical="center" wrapText="1"/>
    </xf>
    <xf numFmtId="1" fontId="3" fillId="24" borderId="2" applyNumberFormat="1" applyFont="1" applyFill="1" applyBorder="1" applyAlignment="1" applyProtection="0">
      <alignment horizontal="left" vertical="center" wrapText="1"/>
    </xf>
    <xf numFmtId="49" fontId="83" fillId="27" borderId="2" applyNumberFormat="1" applyFont="1" applyFill="1" applyBorder="1" applyAlignment="1" applyProtection="0">
      <alignment horizontal="left" vertical="center" wrapText="1"/>
    </xf>
    <xf numFmtId="1" fontId="83" fillId="27" borderId="2"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60" fillId="3" borderId="2" applyNumberFormat="1" applyFont="1" applyFill="1" applyBorder="1" applyAlignment="1" applyProtection="0">
      <alignment horizontal="center" vertical="center"/>
    </xf>
    <xf numFmtId="49" fontId="22" fillId="2" borderId="2" applyNumberFormat="1" applyFont="1" applyFill="1" applyBorder="1" applyAlignment="1" applyProtection="0">
      <alignment horizontal="center" vertical="center"/>
    </xf>
    <xf numFmtId="49" fontId="59" fillId="23" borderId="2" applyNumberFormat="1" applyFont="1" applyFill="1" applyBorder="1" applyAlignment="1" applyProtection="0">
      <alignment horizontal="left" vertical="center" wrapText="1"/>
    </xf>
    <xf numFmtId="1" fontId="59" fillId="23" borderId="2"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7" fillId="11" borderId="19" applyNumberFormat="1" applyFont="1" applyFill="1" applyBorder="1" applyAlignment="1" applyProtection="0">
      <alignment horizontal="left" vertical="center"/>
    </xf>
    <xf numFmtId="1" fontId="17" fillId="11" borderId="19" applyNumberFormat="1" applyFont="1" applyFill="1" applyBorder="1" applyAlignment="1" applyProtection="0">
      <alignment horizontal="left" vertical="center"/>
    </xf>
    <xf numFmtId="1" fontId="17" fillId="11" borderId="4" applyNumberFormat="1" applyFont="1" applyFill="1" applyBorder="1" applyAlignment="1" applyProtection="0">
      <alignment horizontal="left" vertical="center"/>
    </xf>
    <xf numFmtId="0" fontId="0" fillId="2" borderId="52" applyNumberFormat="0" applyFont="1" applyFill="1" applyBorder="1" applyAlignment="1" applyProtection="0">
      <alignment vertical="bottom"/>
    </xf>
    <xf numFmtId="49" fontId="23" fillId="15" borderId="32" applyNumberFormat="1" applyFont="1" applyFill="1" applyBorder="1" applyAlignment="1" applyProtection="0">
      <alignment horizontal="left" vertical="center"/>
    </xf>
    <xf numFmtId="49" fontId="46" fillId="15" borderId="32" applyNumberFormat="1" applyFont="1" applyFill="1" applyBorder="1" applyAlignment="1" applyProtection="0">
      <alignment horizontal="left" vertical="center" wrapText="1"/>
    </xf>
    <xf numFmtId="49" fontId="23" fillId="15" borderId="32" applyNumberFormat="1" applyFont="1" applyFill="1" applyBorder="1" applyAlignment="1" applyProtection="0">
      <alignment horizontal="left" vertical="center" wrapText="1"/>
    </xf>
    <xf numFmtId="49" fontId="23" fillId="2" borderId="32" applyNumberFormat="1" applyFont="1" applyFill="1" applyBorder="1" applyAlignment="1" applyProtection="0">
      <alignment horizontal="left" vertical="center"/>
    </xf>
    <xf numFmtId="49" fontId="46" fillId="2" borderId="32" applyNumberFormat="1" applyFont="1" applyFill="1" applyBorder="1" applyAlignment="1" applyProtection="0">
      <alignment horizontal="left" vertical="center" wrapText="1"/>
    </xf>
    <xf numFmtId="49" fontId="23" fillId="2" borderId="32" applyNumberFormat="1" applyFont="1" applyFill="1" applyBorder="1" applyAlignment="1" applyProtection="0">
      <alignment horizontal="left" vertical="center" wrapText="1"/>
    </xf>
    <xf numFmtId="49" fontId="42" fillId="17" borderId="32" applyNumberFormat="1" applyFont="1" applyFill="1" applyBorder="1" applyAlignment="1" applyProtection="0">
      <alignment horizontal="left" vertical="center"/>
    </xf>
    <xf numFmtId="1" fontId="0" fillId="17" borderId="32" applyNumberFormat="1" applyFont="1" applyFill="1" applyBorder="1" applyAlignment="1" applyProtection="0">
      <alignment horizontal="left" vertical="center"/>
    </xf>
    <xf numFmtId="0" fontId="0" fillId="2" borderId="53" applyNumberFormat="0" applyFont="1" applyFill="1" applyBorder="1" applyAlignment="1" applyProtection="0">
      <alignment vertical="bottom"/>
    </xf>
  </cellXfs>
  <cellStyles count="1">
    <cellStyle name="Normal" xfId="0" builtinId="0"/>
  </cellStyles>
  <dxfs count="5">
    <dxf>
      <font>
        <color rgb="ffff0000"/>
      </font>
    </dxf>
    <dxf>
      <font>
        <color rgb="ffff0000"/>
      </font>
    </dxf>
    <dxf>
      <font>
        <color rgb="ffff0000"/>
      </font>
    </dxf>
    <dxf>
      <font>
        <color rgb="ffff0000"/>
      </font>
    </dxf>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222222"/>
      <rgbColor rgb="ffffffff"/>
      <rgbColor rgb="ffaaaaaa"/>
      <rgbColor rgb="ffcccccc"/>
      <rgbColor rgb="fff4f6fb"/>
      <rgbColor rgb="ff666666"/>
      <rgbColor rgb="ff555555"/>
      <rgbColor rgb="ff1b7a34"/>
      <rgbColor rgb="ff0f3460"/>
      <rgbColor rgb="ff203b64"/>
      <rgbColor rgb="ff3d5a99"/>
      <rgbColor rgb="ffeef2f7"/>
      <rgbColor rgb="ff888888"/>
      <rgbColor rgb="ff333333"/>
      <rgbColor rgb="ff1d4ed8"/>
      <rgbColor rgb="ffbfdbfe"/>
      <rgbColor rgb="ffdbeafe"/>
      <rgbColor rgb="ff7c3aed"/>
      <rgbColor rgb="ffddd6fe"/>
      <rgbColor rgb="ff4b1690"/>
      <rgbColor rgb="ffede9fe"/>
      <rgbColor rgb="ffb71c1c"/>
      <rgbColor rgb="ff0f172a"/>
      <rgbColor rgb="ff475569"/>
      <rgbColor rgb="ff0d47a1"/>
      <rgbColor rgb="ff00695c"/>
      <rgbColor rgb="ffe65100"/>
      <rgbColor rgb="ff93c5fd"/>
      <rgbColor rgb="ff1e293b"/>
      <rgbColor rgb="ffe2e8f0"/>
      <rgbColor rgb="ff1f2937"/>
      <rgbColor rgb="ff9ca3af"/>
      <rgbColor rgb="ff111827"/>
      <rgbColor rgb="ffd1d5db"/>
      <rgbColor rgb="ff86efac"/>
      <rgbColor rgb="fff8fafc"/>
      <rgbColor rgb="ff6b7280"/>
      <rgbColor rgb="ff15803d"/>
      <rgbColor rgb="fff0fdf4"/>
      <rgbColor rgb="ff676d76"/>
      <rgbColor rgb="fffefce8"/>
      <rgbColor rgb="ffff0000"/>
      <rgbColor rgb="ff94a3b8"/>
      <rgbColor rgb="ffcdd5ec"/>
      <rgbColor rgb="ffeff6ff"/>
      <rgbColor rgb="ff64748b"/>
      <rgbColor rgb="ff92400e"/>
      <rgbColor rgb="fffef9b3"/>
      <rgbColor rgb="ffc2410c"/>
      <rgbColor rgb="fffff7ed"/>
      <rgbColor rgb="ffdcfce7"/>
      <rgbColor rgb="ff7e22ce"/>
      <rgbColor rgb="fffdf4ff"/>
      <rgbColor rgb="ffe3f2fd"/>
      <rgbColor rgb="fffff8e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78"/>
  <sheetViews>
    <sheetView workbookViewId="0" showGridLines="0" defaultGridColor="1"/>
  </sheetViews>
  <sheetFormatPr defaultColWidth="8.66667" defaultRowHeight="15" customHeight="1" outlineLevelRow="0" outlineLevelCol="0"/>
  <cols>
    <col min="1" max="1" width="2" style="1" customWidth="1"/>
    <col min="2" max="2" width="26" style="1" customWidth="1"/>
    <col min="3" max="3" width="13" style="1" customWidth="1"/>
    <col min="4" max="4" width="50" style="1" customWidth="1"/>
    <col min="5" max="5" width="2" style="1" customWidth="1"/>
    <col min="6" max="7" width="14" style="1" customWidth="1"/>
    <col min="8" max="8" width="30" style="1" customWidth="1"/>
    <col min="9" max="10" width="8.67188" style="1" customWidth="1"/>
    <col min="11" max="16384" width="8.67188" style="1" customWidth="1"/>
  </cols>
  <sheetData>
    <row r="1" ht="42" customHeight="1">
      <c r="A1" s="2"/>
      <c r="B1" t="s" s="3">
        <v>0</v>
      </c>
      <c r="C1" s="4"/>
      <c r="D1" s="4"/>
      <c r="E1" s="4"/>
      <c r="F1" s="4"/>
      <c r="G1" s="4"/>
      <c r="H1" s="4"/>
      <c r="I1" s="5"/>
      <c r="J1" s="6"/>
    </row>
    <row r="2" ht="15.75" customHeight="1">
      <c r="A2" s="7"/>
      <c r="B2" t="s" s="8">
        <v>1</v>
      </c>
      <c r="C2" s="9"/>
      <c r="D2" s="9"/>
      <c r="E2" s="9"/>
      <c r="F2" s="9"/>
      <c r="G2" s="9"/>
      <c r="H2" s="9"/>
      <c r="I2" s="10"/>
      <c r="J2" s="11"/>
    </row>
    <row r="3" ht="9.75" customHeight="1">
      <c r="A3" s="12"/>
      <c r="B3" s="13"/>
      <c r="C3" s="13"/>
      <c r="D3" s="13"/>
      <c r="E3" s="13"/>
      <c r="F3" s="13"/>
      <c r="G3" s="13"/>
      <c r="H3" s="13"/>
      <c r="I3" s="14"/>
      <c r="J3" s="11"/>
    </row>
    <row r="4" ht="8" customHeight="1">
      <c r="A4" s="12"/>
      <c r="B4" s="14"/>
      <c r="C4" s="14"/>
      <c r="D4" s="14"/>
      <c r="E4" s="14"/>
      <c r="F4" s="14"/>
      <c r="G4" s="14"/>
      <c r="H4" s="14"/>
      <c r="I4" s="14"/>
      <c r="J4" s="11"/>
    </row>
    <row r="5" ht="13.5" customHeight="1">
      <c r="A5" s="12"/>
      <c r="B5" t="s" s="15">
        <v>2</v>
      </c>
      <c r="C5" s="16"/>
      <c r="D5" t="s" s="15">
        <v>3</v>
      </c>
      <c r="E5" s="16"/>
      <c r="F5" t="s" s="15">
        <v>4</v>
      </c>
      <c r="G5" t="s" s="15">
        <v>5</v>
      </c>
      <c r="H5" s="16"/>
      <c r="I5" s="14"/>
      <c r="J5" s="11"/>
    </row>
    <row r="6" ht="25.5" customHeight="1">
      <c r="A6" s="12"/>
      <c r="B6" s="17" cm="1">
        <f t="array" ref="B6">'📊 Portfolio Brief'!G40</f>
        <v>8790005.5942</v>
      </c>
      <c r="C6" s="17"/>
      <c r="D6" s="18" cm="1">
        <f t="array" ref="D6">'📊 Portfolio Brief'!H40</f>
        <v>10119823.86</v>
      </c>
      <c r="E6" s="18"/>
      <c r="F6" t="s" s="19">
        <v>6</v>
      </c>
      <c r="G6" s="20" cm="1">
        <f t="array" ref="G6">'📊 Portfolio Brief'!I40/'📊 Portfolio Brief'!G40</f>
        <v>0.151287533500259</v>
      </c>
      <c r="H6" s="20"/>
      <c r="I6" s="14"/>
      <c r="J6" s="11"/>
    </row>
    <row r="7" ht="14.6" customHeight="1">
      <c r="A7" s="12"/>
      <c r="B7" s="14"/>
      <c r="C7" s="14"/>
      <c r="D7" s="14"/>
      <c r="E7" s="14"/>
      <c r="F7" s="14"/>
      <c r="G7" s="21" cm="1">
        <f t="array" ref="G7">'📊 Portfolio Brief'!I40</f>
        <v>1329818.2658</v>
      </c>
      <c r="H7" s="21"/>
      <c r="I7" s="14"/>
      <c r="J7" s="11"/>
    </row>
    <row r="8" ht="8" customHeight="1">
      <c r="A8" s="12"/>
      <c r="B8" s="14"/>
      <c r="C8" s="14"/>
      <c r="D8" s="14"/>
      <c r="E8" s="14"/>
      <c r="F8" s="14"/>
      <c r="G8" s="14"/>
      <c r="H8" s="14"/>
      <c r="I8" s="14"/>
      <c r="J8" s="11"/>
    </row>
    <row r="9" ht="8" customHeight="1">
      <c r="A9" s="22"/>
      <c r="B9" s="23"/>
      <c r="C9" s="23"/>
      <c r="D9" s="23"/>
      <c r="E9" s="23"/>
      <c r="F9" s="23"/>
      <c r="G9" s="23"/>
      <c r="H9" s="23"/>
      <c r="I9" s="14"/>
      <c r="J9" s="11"/>
    </row>
    <row r="10" ht="27.75" customHeight="1">
      <c r="A10" s="24"/>
      <c r="B10" t="s" s="25">
        <v>7</v>
      </c>
      <c r="C10" s="26"/>
      <c r="D10" s="26"/>
      <c r="E10" s="27"/>
      <c r="F10" s="28"/>
      <c r="G10" s="29"/>
      <c r="H10" s="30"/>
      <c r="I10" s="31"/>
      <c r="J10" s="32"/>
    </row>
    <row r="11" ht="14" customHeight="1">
      <c r="A11" s="24"/>
      <c r="B11" t="s" s="33">
        <v>8</v>
      </c>
      <c r="C11" s="34"/>
      <c r="D11" s="34"/>
      <c r="E11" s="27"/>
      <c r="F11" s="28"/>
      <c r="G11" s="28"/>
      <c r="H11" s="29"/>
      <c r="I11" s="31"/>
      <c r="J11" s="32"/>
    </row>
    <row r="12" ht="12.7" customHeight="1">
      <c r="A12" s="24"/>
      <c r="B12" s="35"/>
      <c r="C12" s="27"/>
      <c r="D12" s="28"/>
      <c r="E12" s="28"/>
      <c r="F12" s="28"/>
      <c r="G12" s="29"/>
      <c r="H12" s="30"/>
      <c r="I12" s="31"/>
      <c r="J12" s="32"/>
    </row>
    <row r="13" ht="12.7" customHeight="1">
      <c r="A13" s="24"/>
      <c r="B13" t="s" s="36">
        <v>9</v>
      </c>
      <c r="C13" t="s" s="37">
        <v>10</v>
      </c>
      <c r="D13" t="s" s="38">
        <v>11</v>
      </c>
      <c r="E13" s="28"/>
      <c r="F13" s="28"/>
      <c r="G13" s="28"/>
      <c r="H13" s="29"/>
      <c r="I13" s="31"/>
      <c r="J13" s="32"/>
    </row>
    <row r="14" ht="12.7" customHeight="1">
      <c r="A14" s="24"/>
      <c r="B14" t="s" s="39">
        <v>12</v>
      </c>
      <c r="C14" s="39"/>
      <c r="D14" s="39"/>
      <c r="E14" s="27"/>
      <c r="F14" s="28"/>
      <c r="G14" s="28"/>
      <c r="H14" s="29"/>
      <c r="I14" s="31"/>
      <c r="J14" s="32"/>
    </row>
    <row r="15" ht="18" customHeight="1">
      <c r="A15" s="24"/>
      <c r="B15" t="s" s="40">
        <v>13</v>
      </c>
      <c r="C15" t="s" s="41">
        <v>14</v>
      </c>
      <c r="D15" t="s" s="42">
        <v>15</v>
      </c>
      <c r="E15" s="28"/>
      <c r="F15" s="28"/>
      <c r="G15" s="28"/>
      <c r="H15" s="29"/>
      <c r="I15" s="31"/>
      <c r="J15" s="32"/>
    </row>
    <row r="16" ht="29" customHeight="1">
      <c r="A16" s="43"/>
      <c r="B16" t="s" s="44">
        <v>16</v>
      </c>
      <c r="C16" t="s" s="45">
        <v>14</v>
      </c>
      <c r="D16" t="s" s="46">
        <v>17</v>
      </c>
      <c r="E16" s="47"/>
      <c r="F16" s="47"/>
      <c r="G16" s="47"/>
      <c r="H16" s="47"/>
      <c r="I16" s="48"/>
      <c r="J16" s="49"/>
    </row>
    <row r="17" ht="40" customHeight="1">
      <c r="A17" s="43"/>
      <c r="B17" t="s" s="50">
        <v>18</v>
      </c>
      <c r="C17" t="s" s="51">
        <v>14</v>
      </c>
      <c r="D17" t="s" s="52">
        <v>19</v>
      </c>
      <c r="E17" s="53"/>
      <c r="F17" s="53"/>
      <c r="G17" s="53"/>
      <c r="H17" s="53"/>
      <c r="I17" s="48"/>
      <c r="J17" s="49"/>
    </row>
    <row r="18" ht="18" customHeight="1">
      <c r="A18" s="24"/>
      <c r="B18" t="s" s="54">
        <v>20</v>
      </c>
      <c r="C18" t="s" s="55">
        <v>14</v>
      </c>
      <c r="D18" t="s" s="56">
        <v>21</v>
      </c>
      <c r="E18" s="28"/>
      <c r="F18" s="28"/>
      <c r="G18" s="28"/>
      <c r="H18" s="29"/>
      <c r="I18" s="31"/>
      <c r="J18" s="32"/>
    </row>
    <row r="19" ht="18" customHeight="1">
      <c r="A19" s="24"/>
      <c r="B19" t="s" s="57">
        <v>22</v>
      </c>
      <c r="C19" t="s" s="41">
        <v>14</v>
      </c>
      <c r="D19" t="s" s="42">
        <v>23</v>
      </c>
      <c r="E19" s="28"/>
      <c r="F19" s="28"/>
      <c r="G19" s="28"/>
      <c r="H19" s="29"/>
      <c r="I19" s="31"/>
      <c r="J19" s="32"/>
    </row>
    <row r="20" ht="18" customHeight="1">
      <c r="A20" s="24"/>
      <c r="B20" t="s" s="58">
        <v>24</v>
      </c>
      <c r="C20" t="s" s="55">
        <v>14</v>
      </c>
      <c r="D20" t="s" s="56">
        <v>25</v>
      </c>
      <c r="E20" s="28"/>
      <c r="F20" s="28"/>
      <c r="G20" s="28"/>
      <c r="H20" s="29"/>
      <c r="I20" s="31"/>
      <c r="J20" s="32"/>
    </row>
    <row r="21" ht="23" customHeight="1">
      <c r="A21" s="24"/>
      <c r="B21" t="s" s="59">
        <v>26</v>
      </c>
      <c r="C21" t="s" s="60">
        <v>14</v>
      </c>
      <c r="D21" t="s" s="61">
        <v>27</v>
      </c>
      <c r="E21" s="28"/>
      <c r="F21" s="28"/>
      <c r="G21" s="28"/>
      <c r="H21" s="29"/>
      <c r="I21" s="31"/>
      <c r="J21" s="32"/>
    </row>
    <row r="22" ht="18" customHeight="1">
      <c r="A22" s="24"/>
      <c r="B22" t="s" s="54">
        <v>28</v>
      </c>
      <c r="C22" t="s" s="55">
        <v>14</v>
      </c>
      <c r="D22" t="s" s="56">
        <v>29</v>
      </c>
      <c r="E22" s="28"/>
      <c r="F22" s="28"/>
      <c r="G22" s="28"/>
      <c r="H22" s="29"/>
      <c r="I22" s="31"/>
      <c r="J22" s="32"/>
    </row>
    <row r="23" ht="18" customHeight="1">
      <c r="A23" s="24"/>
      <c r="B23" t="s" s="62">
        <v>30</v>
      </c>
      <c r="C23" s="62"/>
      <c r="D23" s="63"/>
      <c r="E23" s="28"/>
      <c r="F23" s="28"/>
      <c r="G23" s="29"/>
      <c r="H23" s="30"/>
      <c r="I23" s="31"/>
      <c r="J23" s="32"/>
    </row>
    <row r="24" ht="18" customHeight="1">
      <c r="A24" s="24"/>
      <c r="B24" t="s" s="54">
        <v>31</v>
      </c>
      <c r="C24" s="64"/>
      <c r="D24" s="65"/>
      <c r="E24" s="27"/>
      <c r="F24" s="28"/>
      <c r="G24" s="28"/>
      <c r="H24" s="29"/>
      <c r="I24" s="31"/>
      <c r="J24" s="32"/>
    </row>
    <row r="25" ht="13.55" customHeight="1">
      <c r="A25" s="22"/>
      <c r="B25" t="s" s="66">
        <v>32</v>
      </c>
      <c r="C25" s="67"/>
      <c r="D25" s="67"/>
      <c r="E25" s="28"/>
      <c r="F25" s="28"/>
      <c r="G25" s="28"/>
      <c r="H25" s="28"/>
      <c r="I25" s="68"/>
      <c r="J25" s="32"/>
    </row>
    <row r="26" ht="18" customHeight="1">
      <c r="A26" s="24"/>
      <c r="B26" t="s" s="69">
        <v>33</v>
      </c>
      <c r="C26" s="70"/>
      <c r="D26" s="71"/>
      <c r="E26" s="28"/>
      <c r="F26" s="28"/>
      <c r="G26" s="29"/>
      <c r="H26" s="30"/>
      <c r="I26" s="31"/>
      <c r="J26" s="32"/>
    </row>
    <row r="27" ht="18" customHeight="1">
      <c r="A27" s="24"/>
      <c r="B27" t="s" s="72">
        <v>34</v>
      </c>
      <c r="C27" s="64"/>
      <c r="D27" s="65"/>
      <c r="E27" s="27"/>
      <c r="F27" s="28"/>
      <c r="G27" s="29"/>
      <c r="H27" s="30"/>
      <c r="I27" s="31"/>
      <c r="J27" s="32"/>
    </row>
    <row r="28" ht="13.55" customHeight="1">
      <c r="A28" s="24"/>
      <c r="B28" t="s" s="39">
        <v>35</v>
      </c>
      <c r="C28" s="64"/>
      <c r="D28" s="65"/>
      <c r="E28" s="27"/>
      <c r="F28" s="28"/>
      <c r="G28" s="29"/>
      <c r="H28" s="30"/>
      <c r="I28" s="31"/>
      <c r="J28" s="32"/>
    </row>
    <row r="29" ht="22.7" customHeight="1">
      <c r="A29" s="24"/>
      <c r="B29" t="s" s="73">
        <v>36</v>
      </c>
      <c r="C29" t="s" s="41">
        <v>37</v>
      </c>
      <c r="D29" t="s" s="74">
        <v>38</v>
      </c>
      <c r="E29" s="27"/>
      <c r="F29" s="28"/>
      <c r="G29" s="29"/>
      <c r="H29" s="30"/>
      <c r="I29" s="31"/>
      <c r="J29" s="32"/>
    </row>
    <row r="30" ht="18" customHeight="1">
      <c r="A30" s="24"/>
      <c r="B30" t="s" s="72">
        <v>39</v>
      </c>
      <c r="C30" t="s" s="55">
        <v>37</v>
      </c>
      <c r="D30" t="s" s="75">
        <v>40</v>
      </c>
      <c r="E30" s="27"/>
      <c r="F30" s="28"/>
      <c r="G30" s="29"/>
      <c r="H30" s="30"/>
      <c r="I30" s="31"/>
      <c r="J30" s="32"/>
    </row>
    <row r="31" ht="28" customHeight="1">
      <c r="A31" s="24"/>
      <c r="B31" t="s" s="76">
        <v>41</v>
      </c>
      <c r="C31" t="s" s="41">
        <v>37</v>
      </c>
      <c r="D31" t="s" s="74">
        <v>42</v>
      </c>
      <c r="E31" s="27"/>
      <c r="F31" s="28"/>
      <c r="G31" s="29"/>
      <c r="H31" s="30"/>
      <c r="I31" s="31"/>
      <c r="J31" s="32"/>
    </row>
    <row r="32" ht="18" customHeight="1">
      <c r="A32" s="24"/>
      <c r="B32" t="s" s="77">
        <v>43</v>
      </c>
      <c r="C32" t="s" s="55">
        <v>37</v>
      </c>
      <c r="D32" t="s" s="75">
        <v>44</v>
      </c>
      <c r="E32" s="27"/>
      <c r="F32" s="28"/>
      <c r="G32" s="29"/>
      <c r="H32" s="30"/>
      <c r="I32" s="31"/>
      <c r="J32" s="32"/>
    </row>
    <row r="33" ht="18" customHeight="1">
      <c r="A33" s="24"/>
      <c r="B33" t="s" s="76">
        <v>45</v>
      </c>
      <c r="C33" t="s" s="41">
        <v>37</v>
      </c>
      <c r="D33" t="s" s="74">
        <v>46</v>
      </c>
      <c r="E33" s="27"/>
      <c r="F33" s="28"/>
      <c r="G33" s="28"/>
      <c r="H33" s="29"/>
      <c r="I33" s="31"/>
      <c r="J33" s="32"/>
    </row>
    <row r="34" ht="18" customHeight="1">
      <c r="A34" s="24"/>
      <c r="B34" t="s" s="78">
        <v>47</v>
      </c>
      <c r="C34" t="s" s="55">
        <v>37</v>
      </c>
      <c r="D34" t="s" s="75">
        <v>48</v>
      </c>
      <c r="E34" s="27"/>
      <c r="F34" s="28"/>
      <c r="G34" s="28"/>
      <c r="H34" s="29"/>
      <c r="I34" s="31"/>
      <c r="J34" s="32"/>
    </row>
    <row r="35" ht="18" customHeight="1">
      <c r="A35" s="24"/>
      <c r="B35" t="s" s="73">
        <v>49</v>
      </c>
      <c r="C35" s="79"/>
      <c r="D35" s="79"/>
      <c r="E35" s="27"/>
      <c r="F35" s="28"/>
      <c r="G35" s="28"/>
      <c r="H35" s="29"/>
      <c r="I35" s="31"/>
      <c r="J35" s="32"/>
    </row>
    <row r="36" ht="13.55" customHeight="1">
      <c r="A36" s="24"/>
      <c r="B36" s="30"/>
      <c r="C36" s="64"/>
      <c r="D36" s="65"/>
      <c r="E36" s="27"/>
      <c r="F36" s="28"/>
      <c r="G36" s="28"/>
      <c r="H36" s="29"/>
      <c r="I36" s="31"/>
      <c r="J36" s="32"/>
    </row>
    <row r="37" ht="23.75" customHeight="1">
      <c r="A37" s="24"/>
      <c r="B37" t="s" s="80">
        <v>50</v>
      </c>
      <c r="C37" s="81"/>
      <c r="D37" s="82"/>
      <c r="E37" s="27"/>
      <c r="F37" s="28"/>
      <c r="G37" s="28"/>
      <c r="H37" s="29"/>
      <c r="I37" s="31"/>
      <c r="J37" s="32"/>
    </row>
    <row r="38" ht="12.7" customHeight="1">
      <c r="A38" s="24"/>
      <c r="B38" s="30"/>
      <c r="C38" s="35"/>
      <c r="D38" s="35"/>
      <c r="E38" s="27"/>
      <c r="F38" s="28"/>
      <c r="G38" s="28"/>
      <c r="H38" s="29"/>
      <c r="I38" s="31"/>
      <c r="J38" s="32"/>
    </row>
    <row r="39" ht="12.7" customHeight="1">
      <c r="A39" s="24"/>
      <c r="B39" s="30"/>
      <c r="C39" s="35"/>
      <c r="D39" s="35"/>
      <c r="E39" s="27"/>
      <c r="F39" s="28"/>
      <c r="G39" s="28"/>
      <c r="H39" s="29"/>
      <c r="I39" s="31"/>
      <c r="J39" s="32"/>
    </row>
    <row r="40" ht="15.75" customHeight="1">
      <c r="A40" s="24"/>
      <c r="B40" s="30"/>
      <c r="C40" s="35"/>
      <c r="D40" s="35"/>
      <c r="E40" s="27"/>
      <c r="F40" s="28"/>
      <c r="G40" s="28"/>
      <c r="H40" s="29"/>
      <c r="I40" s="31"/>
      <c r="J40" s="32"/>
    </row>
    <row r="41" ht="15.75" customHeight="1">
      <c r="A41" s="24"/>
      <c r="B41" s="30"/>
      <c r="C41" s="35"/>
      <c r="D41" s="35"/>
      <c r="E41" s="27"/>
      <c r="F41" s="28"/>
      <c r="G41" s="28"/>
      <c r="H41" s="29"/>
      <c r="I41" s="31"/>
      <c r="J41" s="32"/>
    </row>
    <row r="42" ht="15.75" customHeight="1">
      <c r="A42" s="22"/>
      <c r="B42" s="83"/>
      <c r="C42" s="83"/>
      <c r="D42" s="83"/>
      <c r="E42" s="83"/>
      <c r="F42" s="83"/>
      <c r="G42" s="83"/>
      <c r="H42" s="83"/>
      <c r="I42" s="68"/>
      <c r="J42" s="32"/>
    </row>
    <row r="43" ht="15.75" customHeight="1">
      <c r="A43" s="22"/>
      <c r="B43" s="84"/>
      <c r="C43" s="84"/>
      <c r="D43" s="84"/>
      <c r="E43" s="84"/>
      <c r="F43" s="84"/>
      <c r="G43" s="84"/>
      <c r="H43" s="84"/>
      <c r="I43" s="68"/>
      <c r="J43" s="32"/>
    </row>
    <row r="44" ht="15.75" customHeight="1">
      <c r="A44" s="22"/>
      <c r="B44" s="84"/>
      <c r="C44" s="84"/>
      <c r="D44" s="84"/>
      <c r="E44" s="84"/>
      <c r="F44" s="84"/>
      <c r="G44" s="84"/>
      <c r="H44" s="84"/>
      <c r="I44" s="68"/>
      <c r="J44" s="32"/>
    </row>
    <row r="45" ht="15.75" customHeight="1">
      <c r="A45" s="22"/>
      <c r="B45" s="84"/>
      <c r="C45" s="84"/>
      <c r="D45" s="84"/>
      <c r="E45" s="84"/>
      <c r="F45" s="84"/>
      <c r="G45" s="84"/>
      <c r="H45" s="84"/>
      <c r="I45" s="68"/>
      <c r="J45" s="32"/>
    </row>
    <row r="46" ht="15.75" customHeight="1">
      <c r="A46" s="22"/>
      <c r="B46" s="84"/>
      <c r="C46" s="84"/>
      <c r="D46" s="84"/>
      <c r="E46" s="84"/>
      <c r="F46" s="84"/>
      <c r="G46" s="84"/>
      <c r="H46" s="84"/>
      <c r="I46" s="68"/>
      <c r="J46" s="32"/>
    </row>
    <row r="47" ht="15.75" customHeight="1">
      <c r="A47" s="22"/>
      <c r="B47" s="84"/>
      <c r="C47" s="84"/>
      <c r="D47" s="84"/>
      <c r="E47" s="84"/>
      <c r="F47" s="84"/>
      <c r="G47" s="84"/>
      <c r="H47" s="84"/>
      <c r="I47" s="68"/>
      <c r="J47" s="32"/>
    </row>
    <row r="48" ht="15.75" customHeight="1">
      <c r="A48" s="22"/>
      <c r="B48" s="84"/>
      <c r="C48" s="84"/>
      <c r="D48" s="84"/>
      <c r="E48" s="84"/>
      <c r="F48" s="84"/>
      <c r="G48" s="84"/>
      <c r="H48" s="84"/>
      <c r="I48" s="68"/>
      <c r="J48" s="32"/>
    </row>
    <row r="49" ht="15.75" customHeight="1">
      <c r="A49" s="22"/>
      <c r="B49" s="84"/>
      <c r="C49" s="84"/>
      <c r="D49" s="84"/>
      <c r="E49" s="84"/>
      <c r="F49" s="84"/>
      <c r="G49" s="84"/>
      <c r="H49" s="84"/>
      <c r="I49" s="68"/>
      <c r="J49" s="32"/>
    </row>
    <row r="50" ht="15.75" customHeight="1">
      <c r="A50" s="22"/>
      <c r="B50" s="84"/>
      <c r="C50" s="84"/>
      <c r="D50" s="84"/>
      <c r="E50" s="84"/>
      <c r="F50" s="84"/>
      <c r="G50" s="84"/>
      <c r="H50" s="84"/>
      <c r="I50" s="68"/>
      <c r="J50" s="32"/>
    </row>
    <row r="51" ht="15.75" customHeight="1">
      <c r="A51" s="22"/>
      <c r="B51" s="84"/>
      <c r="C51" s="84"/>
      <c r="D51" s="84"/>
      <c r="E51" s="84"/>
      <c r="F51" s="84"/>
      <c r="G51" s="84"/>
      <c r="H51" s="84"/>
      <c r="I51" s="68"/>
      <c r="J51" s="32"/>
    </row>
    <row r="52" ht="15.75" customHeight="1">
      <c r="A52" s="22"/>
      <c r="B52" s="84"/>
      <c r="C52" s="84"/>
      <c r="D52" s="84"/>
      <c r="E52" s="84"/>
      <c r="F52" s="84"/>
      <c r="G52" s="84"/>
      <c r="H52" s="84"/>
      <c r="I52" s="68"/>
      <c r="J52" s="32"/>
    </row>
    <row r="53" ht="15.75" customHeight="1">
      <c r="A53" s="22"/>
      <c r="B53" s="84"/>
      <c r="C53" s="84"/>
      <c r="D53" s="84"/>
      <c r="E53" s="84"/>
      <c r="F53" s="84"/>
      <c r="G53" s="84"/>
      <c r="H53" s="84"/>
      <c r="I53" s="68"/>
      <c r="J53" s="32"/>
    </row>
    <row r="54" ht="15.75" customHeight="1">
      <c r="A54" s="22"/>
      <c r="B54" s="84"/>
      <c r="C54" s="84"/>
      <c r="D54" s="84"/>
      <c r="E54" s="84"/>
      <c r="F54" s="84"/>
      <c r="G54" s="84"/>
      <c r="H54" s="84"/>
      <c r="I54" s="68"/>
      <c r="J54" s="32"/>
    </row>
    <row r="55" ht="15.75" customHeight="1">
      <c r="A55" s="22"/>
      <c r="B55" s="84"/>
      <c r="C55" s="84"/>
      <c r="D55" s="84"/>
      <c r="E55" s="84"/>
      <c r="F55" s="84"/>
      <c r="G55" s="84"/>
      <c r="H55" s="84"/>
      <c r="I55" s="68"/>
      <c r="J55" s="32"/>
    </row>
    <row r="56" ht="15.75" customHeight="1">
      <c r="A56" s="22"/>
      <c r="B56" s="84"/>
      <c r="C56" s="84"/>
      <c r="D56" s="84"/>
      <c r="E56" s="84"/>
      <c r="F56" s="84"/>
      <c r="G56" s="84"/>
      <c r="H56" s="84"/>
      <c r="I56" s="68"/>
      <c r="J56" s="32"/>
    </row>
    <row r="57" ht="15.75" customHeight="1">
      <c r="A57" s="22"/>
      <c r="B57" s="84"/>
      <c r="C57" s="84"/>
      <c r="D57" s="84"/>
      <c r="E57" s="84"/>
      <c r="F57" s="84"/>
      <c r="G57" s="84"/>
      <c r="H57" s="84"/>
      <c r="I57" s="68"/>
      <c r="J57" s="32"/>
    </row>
    <row r="58" ht="15.75" customHeight="1">
      <c r="A58" s="22"/>
      <c r="B58" s="84"/>
      <c r="C58" s="84"/>
      <c r="D58" s="84"/>
      <c r="E58" s="84"/>
      <c r="F58" s="84"/>
      <c r="G58" s="84"/>
      <c r="H58" s="84"/>
      <c r="I58" s="68"/>
      <c r="J58" s="32"/>
    </row>
    <row r="59" ht="15.75" customHeight="1">
      <c r="A59" s="22"/>
      <c r="B59" s="84"/>
      <c r="C59" s="84"/>
      <c r="D59" s="84"/>
      <c r="E59" s="84"/>
      <c r="F59" s="84"/>
      <c r="G59" s="84"/>
      <c r="H59" s="84"/>
      <c r="I59" s="68"/>
      <c r="J59" s="32"/>
    </row>
    <row r="60" ht="15" customHeight="1">
      <c r="A60" s="22"/>
      <c r="B60" s="84"/>
      <c r="C60" s="84"/>
      <c r="D60" s="84"/>
      <c r="E60" s="84"/>
      <c r="F60" s="84"/>
      <c r="G60" s="84"/>
      <c r="H60" s="84"/>
      <c r="I60" s="68"/>
      <c r="J60" s="32"/>
    </row>
    <row r="61" ht="15" customHeight="1">
      <c r="A61" s="22"/>
      <c r="B61" s="84"/>
      <c r="C61" s="84"/>
      <c r="D61" s="84"/>
      <c r="E61" s="84"/>
      <c r="F61" s="84"/>
      <c r="G61" s="84"/>
      <c r="H61" s="84"/>
      <c r="I61" s="68"/>
      <c r="J61" s="32"/>
    </row>
    <row r="62" ht="15" customHeight="1">
      <c r="A62" s="22"/>
      <c r="B62" s="84"/>
      <c r="C62" s="84"/>
      <c r="D62" s="84"/>
      <c r="E62" s="84"/>
      <c r="F62" s="84"/>
      <c r="G62" s="84"/>
      <c r="H62" s="84"/>
      <c r="I62" s="68"/>
      <c r="J62" s="32"/>
    </row>
    <row r="63" ht="15" customHeight="1">
      <c r="A63" s="22"/>
      <c r="B63" s="84"/>
      <c r="C63" s="84"/>
      <c r="D63" s="84"/>
      <c r="E63" s="84"/>
      <c r="F63" s="84"/>
      <c r="G63" s="84"/>
      <c r="H63" s="84"/>
      <c r="I63" s="14"/>
      <c r="J63" s="11"/>
    </row>
    <row r="64" ht="15" customHeight="1">
      <c r="A64" s="22"/>
      <c r="B64" s="84"/>
      <c r="C64" s="84"/>
      <c r="D64" s="84"/>
      <c r="E64" s="84"/>
      <c r="F64" s="84"/>
      <c r="G64" s="84"/>
      <c r="H64" s="84"/>
      <c r="I64" s="14"/>
      <c r="J64" s="11"/>
    </row>
    <row r="65" ht="15" customHeight="1">
      <c r="A65" s="22"/>
      <c r="B65" s="84"/>
      <c r="C65" s="84"/>
      <c r="D65" s="84"/>
      <c r="E65" s="84"/>
      <c r="F65" s="84"/>
      <c r="G65" s="84"/>
      <c r="H65" s="84"/>
      <c r="I65" s="14"/>
      <c r="J65" s="11"/>
    </row>
    <row r="66" ht="15" customHeight="1">
      <c r="A66" s="22"/>
      <c r="B66" s="84"/>
      <c r="C66" s="84"/>
      <c r="D66" s="84"/>
      <c r="E66" s="84"/>
      <c r="F66" s="84"/>
      <c r="G66" s="84"/>
      <c r="H66" s="84"/>
      <c r="I66" s="14"/>
      <c r="J66" s="11"/>
    </row>
    <row r="67" ht="15" customHeight="1">
      <c r="A67" s="22"/>
      <c r="B67" s="84"/>
      <c r="C67" s="84"/>
      <c r="D67" s="84"/>
      <c r="E67" s="84"/>
      <c r="F67" s="84"/>
      <c r="G67" s="84"/>
      <c r="H67" s="84"/>
      <c r="I67" s="14"/>
      <c r="J67" s="11"/>
    </row>
    <row r="68" ht="15" customHeight="1">
      <c r="A68" s="22"/>
      <c r="B68" s="84"/>
      <c r="C68" s="84"/>
      <c r="D68" s="84"/>
      <c r="E68" s="84"/>
      <c r="F68" s="84"/>
      <c r="G68" s="84"/>
      <c r="H68" s="84"/>
      <c r="I68" s="48"/>
      <c r="J68" s="49"/>
    </row>
    <row r="69" ht="15" customHeight="1">
      <c r="A69" s="22"/>
      <c r="B69" s="84"/>
      <c r="C69" s="84"/>
      <c r="D69" s="84"/>
      <c r="E69" s="84"/>
      <c r="F69" s="84"/>
      <c r="G69" s="84"/>
      <c r="H69" s="84"/>
      <c r="I69" s="48"/>
      <c r="J69" s="49"/>
    </row>
    <row r="70" ht="15" customHeight="1">
      <c r="A70" s="22"/>
      <c r="B70" s="84"/>
      <c r="C70" s="84"/>
      <c r="D70" s="84"/>
      <c r="E70" s="84"/>
      <c r="F70" s="84"/>
      <c r="G70" s="84"/>
      <c r="H70" s="84"/>
      <c r="I70" s="48"/>
      <c r="J70" s="49"/>
    </row>
    <row r="71" ht="15" customHeight="1">
      <c r="A71" s="22"/>
      <c r="B71" s="84"/>
      <c r="C71" s="84"/>
      <c r="D71" s="84"/>
      <c r="E71" s="84"/>
      <c r="F71" s="84"/>
      <c r="G71" s="84"/>
      <c r="H71" s="84"/>
      <c r="I71" s="48"/>
      <c r="J71" s="49"/>
    </row>
    <row r="72" ht="15" customHeight="1">
      <c r="A72" s="22"/>
      <c r="B72" s="84"/>
      <c r="C72" s="84"/>
      <c r="D72" s="84"/>
      <c r="E72" s="84"/>
      <c r="F72" s="84"/>
      <c r="G72" s="84"/>
      <c r="H72" s="84"/>
      <c r="I72" s="48"/>
      <c r="J72" s="49"/>
    </row>
    <row r="73" ht="19.5" customHeight="1">
      <c r="A73" s="43"/>
      <c r="B73" s="85"/>
      <c r="C73" s="85"/>
      <c r="D73" s="85"/>
      <c r="E73" s="85"/>
      <c r="F73" s="85"/>
      <c r="G73" s="85"/>
      <c r="H73" s="85"/>
      <c r="I73" s="85"/>
      <c r="J73" s="86"/>
    </row>
    <row r="74" ht="39.75" customHeight="1">
      <c r="A74" s="43"/>
      <c r="B74" t="s" s="87">
        <v>51</v>
      </c>
      <c r="C74" s="85"/>
      <c r="D74" s="85"/>
      <c r="E74" s="85"/>
      <c r="F74" s="85"/>
      <c r="G74" s="85"/>
      <c r="H74" s="85"/>
      <c r="I74" s="85"/>
      <c r="J74" s="86"/>
    </row>
    <row r="75" ht="39.75" customHeight="1">
      <c r="A75" s="43"/>
      <c r="B75" t="s" s="88">
        <v>52</v>
      </c>
      <c r="C75" t="s" s="89">
        <v>53</v>
      </c>
      <c r="D75" s="90"/>
      <c r="E75" s="90"/>
      <c r="F75" s="90"/>
      <c r="G75" s="90"/>
      <c r="H75" s="90"/>
      <c r="I75" s="90"/>
      <c r="J75" s="91"/>
    </row>
    <row r="76" ht="39.75" customHeight="1">
      <c r="A76" s="43"/>
      <c r="B76" t="s" s="88">
        <v>54</v>
      </c>
      <c r="C76" t="s" s="89">
        <v>55</v>
      </c>
      <c r="D76" s="90"/>
      <c r="E76" s="90"/>
      <c r="F76" s="90"/>
      <c r="G76" s="90"/>
      <c r="H76" s="90"/>
      <c r="I76" s="90"/>
      <c r="J76" s="91"/>
    </row>
    <row r="77" ht="39.75" customHeight="1">
      <c r="A77" s="43"/>
      <c r="B77" t="s" s="88">
        <v>56</v>
      </c>
      <c r="C77" t="s" s="89">
        <v>57</v>
      </c>
      <c r="D77" s="90"/>
      <c r="E77" s="90"/>
      <c r="F77" s="90"/>
      <c r="G77" s="90"/>
      <c r="H77" s="90"/>
      <c r="I77" s="90"/>
      <c r="J77" s="91"/>
    </row>
    <row r="78" ht="29" customHeight="1">
      <c r="A78" s="92"/>
      <c r="B78" t="s" s="93">
        <v>58</v>
      </c>
      <c r="C78" t="s" s="94">
        <v>59</v>
      </c>
      <c r="D78" s="95"/>
      <c r="E78" s="95"/>
      <c r="F78" s="95"/>
      <c r="G78" s="95"/>
      <c r="H78" s="95"/>
      <c r="I78" s="95"/>
      <c r="J78" s="96"/>
    </row>
  </sheetData>
  <mergeCells count="30">
    <mergeCell ref="B1:H1"/>
    <mergeCell ref="B2:H2"/>
    <mergeCell ref="B4:C4"/>
    <mergeCell ref="D4:E4"/>
    <mergeCell ref="G4:H4"/>
    <mergeCell ref="B5:C5"/>
    <mergeCell ref="D5:E5"/>
    <mergeCell ref="G5:H5"/>
    <mergeCell ref="B6:C6"/>
    <mergeCell ref="D6:E6"/>
    <mergeCell ref="G6:H6"/>
    <mergeCell ref="B7:C7"/>
    <mergeCell ref="D7:E7"/>
    <mergeCell ref="G7:H7"/>
    <mergeCell ref="B8:C8"/>
    <mergeCell ref="D8:E8"/>
    <mergeCell ref="G8:H8"/>
    <mergeCell ref="B10:D10"/>
    <mergeCell ref="B11:D11"/>
    <mergeCell ref="B14:D14"/>
    <mergeCell ref="B23:D23"/>
    <mergeCell ref="B26:D26"/>
    <mergeCell ref="B35:D35"/>
    <mergeCell ref="B73:J73"/>
    <mergeCell ref="C74:J74"/>
    <mergeCell ref="C75:J75"/>
    <mergeCell ref="C76:J76"/>
    <mergeCell ref="C77:J77"/>
    <mergeCell ref="C78:J78"/>
    <mergeCell ref="B37:D37"/>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P34"/>
  <sheetViews>
    <sheetView workbookViewId="0" showGridLines="0" defaultGridColor="1"/>
  </sheetViews>
  <sheetFormatPr defaultColWidth="8.66667" defaultRowHeight="15" customHeight="1" outlineLevelRow="0" outlineLevelCol="0"/>
  <cols>
    <col min="1" max="1" width="8.67188" style="97" customWidth="1"/>
    <col min="2" max="2" width="16" style="97" customWidth="1"/>
    <col min="3" max="3" width="22" style="97" customWidth="1"/>
    <col min="4" max="4" width="10" style="97" customWidth="1"/>
    <col min="5" max="5" width="13" style="97" customWidth="1"/>
    <col min="6" max="6" width="9" style="97" customWidth="1"/>
    <col min="7" max="7" width="10" style="97" customWidth="1"/>
    <col min="8" max="8" width="16" style="97" customWidth="1"/>
    <col min="9" max="11" width="14" style="97" customWidth="1"/>
    <col min="12" max="12" width="10" style="97" customWidth="1"/>
    <col min="13" max="14" width="12" style="97" customWidth="1"/>
    <col min="15" max="15" width="13" style="97" customWidth="1"/>
    <col min="16" max="16" width="24" style="97" customWidth="1"/>
    <col min="17" max="16384" width="8.67188" style="97" customWidth="1"/>
  </cols>
  <sheetData>
    <row r="1" ht="21.75" customHeight="1">
      <c r="A1" s="98"/>
      <c r="B1" t="s" s="99">
        <v>60</v>
      </c>
      <c r="C1" s="100"/>
      <c r="D1" s="100"/>
      <c r="E1" s="100"/>
      <c r="F1" s="100"/>
      <c r="G1" s="100"/>
      <c r="H1" s="100"/>
      <c r="I1" s="100"/>
      <c r="J1" s="100"/>
      <c r="K1" s="100"/>
      <c r="L1" s="100"/>
      <c r="M1" s="100"/>
      <c r="N1" s="100"/>
      <c r="O1" s="100"/>
      <c r="P1" s="101"/>
    </row>
    <row r="2" ht="15.75" customHeight="1">
      <c r="A2" s="98"/>
      <c r="B2" t="s" s="102">
        <v>61</v>
      </c>
      <c r="C2" s="103"/>
      <c r="D2" s="103"/>
      <c r="E2" s="103"/>
      <c r="F2" s="103"/>
      <c r="G2" s="103"/>
      <c r="H2" s="103"/>
      <c r="I2" s="103"/>
      <c r="J2" s="103"/>
      <c r="K2" s="103"/>
      <c r="L2" s="103"/>
      <c r="M2" s="103"/>
      <c r="N2" s="103"/>
      <c r="O2" s="103"/>
      <c r="P2" s="104"/>
    </row>
    <row r="3" ht="13.55" customHeight="1">
      <c r="A3" s="105"/>
      <c r="B3" s="106"/>
      <c r="C3" s="106"/>
      <c r="D3" s="106"/>
      <c r="E3" s="106"/>
      <c r="F3" s="106"/>
      <c r="G3" s="106"/>
      <c r="H3" s="106"/>
      <c r="I3" s="106"/>
      <c r="J3" s="106"/>
      <c r="K3" s="106"/>
      <c r="L3" s="106"/>
      <c r="M3" s="106"/>
      <c r="N3" s="106"/>
      <c r="O3" s="106"/>
      <c r="P3" s="106"/>
    </row>
    <row r="4" ht="30" customHeight="1">
      <c r="A4" s="107"/>
      <c r="B4" t="s" s="108">
        <v>62</v>
      </c>
      <c r="C4" t="s" s="108">
        <v>63</v>
      </c>
      <c r="D4" t="s" s="108">
        <v>64</v>
      </c>
      <c r="E4" t="s" s="108">
        <v>65</v>
      </c>
      <c r="F4" t="s" s="108">
        <v>66</v>
      </c>
      <c r="G4" t="s" s="108">
        <v>67</v>
      </c>
      <c r="H4" t="s" s="109">
        <v>68</v>
      </c>
      <c r="I4" t="s" s="110">
        <v>69</v>
      </c>
      <c r="J4" t="s" s="108">
        <v>70</v>
      </c>
      <c r="K4" t="s" s="110">
        <v>71</v>
      </c>
      <c r="L4" t="s" s="110">
        <v>72</v>
      </c>
      <c r="M4" t="s" s="108">
        <v>73</v>
      </c>
      <c r="N4" t="s" s="108">
        <v>74</v>
      </c>
      <c r="O4" t="s" s="108">
        <v>75</v>
      </c>
      <c r="P4" t="s" s="108">
        <v>76</v>
      </c>
    </row>
    <row r="5" ht="18" customHeight="1">
      <c r="A5" s="107"/>
      <c r="B5" t="s" s="111">
        <v>77</v>
      </c>
      <c r="C5" t="s" s="112">
        <v>78</v>
      </c>
      <c r="D5" s="113">
        <v>8000</v>
      </c>
      <c r="E5" s="114">
        <v>84.4748</v>
      </c>
      <c r="F5" s="113">
        <v>0</v>
      </c>
      <c r="G5" s="115" cm="1">
        <f t="array" ref="G5">D5-F5</f>
        <v>8000</v>
      </c>
      <c r="H5" s="116">
        <v>138.3</v>
      </c>
      <c r="I5" s="117" cm="1">
        <f t="array" ref="I5">D5*H5</f>
        <v>1106400</v>
      </c>
      <c r="J5" s="118" cm="1">
        <f t="array" ref="J5">D5*E5</f>
        <v>675798.4</v>
      </c>
      <c r="K5" s="119" cm="1">
        <f t="array" ref="K5">I5-J5</f>
        <v>430601.6</v>
      </c>
      <c r="L5" s="120" cm="1">
        <f t="array" ref="L5">IF(J5=0,"-",I5/J5-1)</f>
        <v>0.637174636696388</v>
      </c>
      <c r="M5" s="121"/>
      <c r="N5" s="121"/>
      <c r="O5" t="str" s="122" cm="1">
        <f t="array" ref="O5">IF(M5="","",H5/M5-1)</f>
      </c>
      <c r="P5" t="s" s="123">
        <v>79</v>
      </c>
    </row>
    <row r="6" ht="18" customHeight="1">
      <c r="A6" s="107"/>
      <c r="B6" t="s" s="111">
        <v>80</v>
      </c>
      <c r="C6" t="s" s="112">
        <v>81</v>
      </c>
      <c r="D6" s="113">
        <v>750</v>
      </c>
      <c r="E6" s="114">
        <v>660</v>
      </c>
      <c r="F6" s="113">
        <v>0</v>
      </c>
      <c r="G6" s="115" cm="1">
        <f t="array" ref="G6">D6-F6</f>
        <v>750</v>
      </c>
      <c r="H6" s="116">
        <v>945.1</v>
      </c>
      <c r="I6" s="117" cm="1">
        <f t="array" ref="I6">D6*H6</f>
        <v>708825</v>
      </c>
      <c r="J6" s="118" cm="1">
        <f t="array" ref="J6">D6*E6</f>
        <v>495000</v>
      </c>
      <c r="K6" s="119" cm="1">
        <f t="array" ref="K6">I6-J6</f>
        <v>213825</v>
      </c>
      <c r="L6" s="120" cm="1">
        <f t="array" ref="L6">IF(J6=0,"-",I6/J6-1)</f>
        <v>0.431969696969697</v>
      </c>
      <c r="M6" s="121"/>
      <c r="N6" s="121"/>
      <c r="O6" t="str" s="122" cm="1">
        <f t="array" ref="O6">IF(M6="","",H6/M6-1)</f>
      </c>
      <c r="P6" t="s" s="123">
        <v>79</v>
      </c>
    </row>
    <row r="7" ht="18" customHeight="1">
      <c r="A7" s="107"/>
      <c r="B7" t="s" s="111">
        <v>82</v>
      </c>
      <c r="C7" t="s" s="112">
        <v>83</v>
      </c>
      <c r="D7" s="113">
        <v>10074</v>
      </c>
      <c r="E7" s="114">
        <v>41.8047</v>
      </c>
      <c r="F7" s="113">
        <v>0</v>
      </c>
      <c r="G7" s="115" cm="1">
        <f t="array" ref="G7">D7-F7</f>
        <v>10074</v>
      </c>
      <c r="H7" s="116">
        <v>54.27</v>
      </c>
      <c r="I7" s="117" cm="1">
        <f t="array" ref="I7">D7*H7</f>
        <v>546715.98</v>
      </c>
      <c r="J7" s="118" cm="1">
        <f t="array" ref="J7">D7*E7</f>
        <v>421140.5478</v>
      </c>
      <c r="K7" s="119" cm="1">
        <f t="array" ref="K7">I7-J7</f>
        <v>125575.4322</v>
      </c>
      <c r="L7" s="120" cm="1">
        <f t="array" ref="L7">IF(J7=0,"-",I7/J7-1)</f>
        <v>0.29817939131246</v>
      </c>
      <c r="M7" s="121"/>
      <c r="N7" s="121"/>
      <c r="O7" t="str" s="122" cm="1">
        <f t="array" ref="O7">IF(M7="","",H7/M7-1)</f>
      </c>
      <c r="P7" t="s" s="123">
        <v>79</v>
      </c>
    </row>
    <row r="8" ht="18" customHeight="1">
      <c r="A8" s="107"/>
      <c r="B8" t="s" s="111">
        <v>84</v>
      </c>
      <c r="C8" t="s" s="112">
        <v>85</v>
      </c>
      <c r="D8" s="113">
        <v>1200</v>
      </c>
      <c r="E8" s="114">
        <v>388.9194</v>
      </c>
      <c r="F8" s="113">
        <v>0</v>
      </c>
      <c r="G8" s="115" cm="1">
        <f t="array" ref="G8">D8-F8</f>
        <v>1200</v>
      </c>
      <c r="H8" s="116">
        <v>435.15</v>
      </c>
      <c r="I8" s="117" cm="1">
        <f t="array" ref="I8">D8*H8</f>
        <v>522180</v>
      </c>
      <c r="J8" s="118" cm="1">
        <f t="array" ref="J8">D8*E8</f>
        <v>466703.28</v>
      </c>
      <c r="K8" s="119" cm="1">
        <f t="array" ref="K8">I8-J8</f>
        <v>55476.72</v>
      </c>
      <c r="L8" s="120" cm="1">
        <f t="array" ref="L8">IF(J8=0,"-",I8/J8-1)</f>
        <v>0.118869359563961</v>
      </c>
      <c r="M8" s="121"/>
      <c r="N8" s="121"/>
      <c r="O8" t="str" s="122" cm="1">
        <f t="array" ref="O8">IF(M8="","",H8/M8-1)</f>
      </c>
      <c r="P8" t="s" s="123">
        <v>79</v>
      </c>
    </row>
    <row r="9" ht="18" customHeight="1">
      <c r="A9" s="107"/>
      <c r="B9" t="s" s="111">
        <v>86</v>
      </c>
      <c r="C9" t="s" s="112">
        <v>87</v>
      </c>
      <c r="D9" s="113">
        <v>375</v>
      </c>
      <c r="E9" s="114">
        <v>1154.2536</v>
      </c>
      <c r="F9" s="113">
        <v>350</v>
      </c>
      <c r="G9" s="115" cm="1">
        <f t="array" ref="G9">D9-F9</f>
        <v>25</v>
      </c>
      <c r="H9" s="116">
        <v>1365.4</v>
      </c>
      <c r="I9" s="117" cm="1">
        <f t="array" ref="I9">D9*H9</f>
        <v>512025</v>
      </c>
      <c r="J9" s="118" cm="1">
        <f t="array" ref="J9">D9*E9</f>
        <v>432845.1</v>
      </c>
      <c r="K9" s="119" cm="1">
        <f t="array" ref="K9">I9-J9</f>
        <v>79179.899999999994</v>
      </c>
      <c r="L9" s="120" cm="1">
        <f t="array" ref="L9">IF(J9=0,"-",I9/J9-1)</f>
        <v>0.182928950795562</v>
      </c>
      <c r="M9" s="121"/>
      <c r="N9" s="121"/>
      <c r="O9" t="str" s="122" cm="1">
        <f t="array" ref="O9">IF(M9="","",H9/M9-1)</f>
      </c>
      <c r="P9" t="s" s="123">
        <v>79</v>
      </c>
    </row>
    <row r="10" ht="18" customHeight="1">
      <c r="A10" s="107"/>
      <c r="B10" t="s" s="111">
        <v>88</v>
      </c>
      <c r="C10" t="s" s="112">
        <v>89</v>
      </c>
      <c r="D10" s="113">
        <v>441</v>
      </c>
      <c r="E10" s="114">
        <v>934.6512</v>
      </c>
      <c r="F10" s="113">
        <v>441</v>
      </c>
      <c r="G10" s="115" cm="1">
        <f t="array" ref="G10">D10-F10</f>
        <v>0</v>
      </c>
      <c r="H10" s="116">
        <v>1074.4</v>
      </c>
      <c r="I10" s="117" cm="1">
        <f t="array" ref="I10">D10*H10</f>
        <v>473810.4</v>
      </c>
      <c r="J10" s="118" cm="1">
        <f t="array" ref="J10">D10*E10</f>
        <v>412181.1792</v>
      </c>
      <c r="K10" s="119" cm="1">
        <f t="array" ref="K10">I10-J10</f>
        <v>61629.2208</v>
      </c>
      <c r="L10" s="120" cm="1">
        <f t="array" ref="L10">IF(J10=0,"-",I10/J10-1)</f>
        <v>0.149519735276647</v>
      </c>
      <c r="M10" s="121"/>
      <c r="N10" s="121"/>
      <c r="O10" t="str" s="122" cm="1">
        <f t="array" ref="O10">IF(M10="","",H10/M10-1)</f>
      </c>
      <c r="P10" t="s" s="123">
        <v>79</v>
      </c>
    </row>
    <row r="11" ht="18" customHeight="1">
      <c r="A11" s="107"/>
      <c r="B11" t="s" s="111">
        <v>90</v>
      </c>
      <c r="C11" t="s" s="112">
        <v>91</v>
      </c>
      <c r="D11" s="113">
        <v>550</v>
      </c>
      <c r="E11" s="114">
        <v>743.8698000000001</v>
      </c>
      <c r="F11" s="113">
        <v>425</v>
      </c>
      <c r="G11" s="115" cm="1">
        <f t="array" ref="G11">D11-F11</f>
        <v>125</v>
      </c>
      <c r="H11" s="116">
        <v>859.1</v>
      </c>
      <c r="I11" s="117" cm="1">
        <f t="array" ref="I11">D11*H11</f>
        <v>472505</v>
      </c>
      <c r="J11" s="118" cm="1">
        <f t="array" ref="J11">D11*E11</f>
        <v>409128.39</v>
      </c>
      <c r="K11" s="119" cm="1">
        <f t="array" ref="K11">I11-J11</f>
        <v>63376.61</v>
      </c>
      <c r="L11" s="120" cm="1">
        <f t="array" ref="L11">IF(J11=0,"-",I11/J11-1)</f>
        <v>0.154906409696966</v>
      </c>
      <c r="M11" s="121"/>
      <c r="N11" s="121"/>
      <c r="O11" t="str" s="122" cm="1">
        <f t="array" ref="O11">IF(M11="","",H11/M11-1)</f>
      </c>
      <c r="P11" t="s" s="123">
        <v>79</v>
      </c>
    </row>
    <row r="12" ht="18" customHeight="1">
      <c r="A12" s="107"/>
      <c r="B12" t="s" s="111">
        <v>92</v>
      </c>
      <c r="C12" t="s" s="112">
        <v>87</v>
      </c>
      <c r="D12" s="113">
        <v>1500</v>
      </c>
      <c r="E12" s="114">
        <v>241.5191</v>
      </c>
      <c r="F12" s="113">
        <v>0</v>
      </c>
      <c r="G12" s="115" cm="1">
        <f t="array" ref="G12">D12-F12</f>
        <v>1500</v>
      </c>
      <c r="H12" s="116">
        <v>299.3</v>
      </c>
      <c r="I12" s="117" cm="1">
        <f t="array" ref="I12">D12*H12</f>
        <v>448950</v>
      </c>
      <c r="J12" s="118" cm="1">
        <f t="array" ref="J12">D12*E12</f>
        <v>362278.65</v>
      </c>
      <c r="K12" s="119" cm="1">
        <f t="array" ref="K12">I12-J12</f>
        <v>86671.350000000006</v>
      </c>
      <c r="L12" s="120" cm="1">
        <f t="array" ref="L12">IF(J12=0,"-",I12/J12-1)</f>
        <v>0.23923946387677</v>
      </c>
      <c r="M12" s="121"/>
      <c r="N12" s="121"/>
      <c r="O12" t="str" s="122" cm="1">
        <f t="array" ref="O12">IF(M12="","",H12/M12-1)</f>
      </c>
      <c r="P12" t="s" s="123">
        <v>79</v>
      </c>
    </row>
    <row r="13" ht="18" customHeight="1">
      <c r="A13" s="107"/>
      <c r="B13" t="s" s="111">
        <v>93</v>
      </c>
      <c r="C13" t="s" s="112">
        <v>83</v>
      </c>
      <c r="D13" s="113">
        <v>350</v>
      </c>
      <c r="E13" s="114">
        <v>961.5244</v>
      </c>
      <c r="F13" s="113">
        <v>275</v>
      </c>
      <c r="G13" s="115" cm="1">
        <f t="array" ref="G13">D13-F13</f>
        <v>75</v>
      </c>
      <c r="H13" s="116">
        <v>1225.8</v>
      </c>
      <c r="I13" s="117" cm="1">
        <f t="array" ref="I13">D13*H13</f>
        <v>429030</v>
      </c>
      <c r="J13" s="118" cm="1">
        <f t="array" ref="J13">D13*E13</f>
        <v>336533.54</v>
      </c>
      <c r="K13" s="119" cm="1">
        <f t="array" ref="K13">I13-J13</f>
        <v>92496.460000000006</v>
      </c>
      <c r="L13" s="120" cm="1">
        <f t="array" ref="L13">IF(J13=0,"-",I13/J13-1)</f>
        <v>0.274850643415809</v>
      </c>
      <c r="M13" s="121"/>
      <c r="N13" s="121"/>
      <c r="O13" t="str" s="122" cm="1">
        <f t="array" ref="O13">IF(M13="","",H13/M13-1)</f>
      </c>
      <c r="P13" t="s" s="123">
        <v>79</v>
      </c>
    </row>
    <row r="14" ht="18" customHeight="1">
      <c r="A14" s="107"/>
      <c r="B14" t="s" s="111">
        <v>94</v>
      </c>
      <c r="C14" t="s" s="112">
        <v>95</v>
      </c>
      <c r="D14" s="113">
        <v>110</v>
      </c>
      <c r="E14" s="114">
        <v>3614.1977</v>
      </c>
      <c r="F14" s="113">
        <v>0</v>
      </c>
      <c r="G14" s="115" cm="1">
        <f t="array" ref="G14">D14-F14</f>
        <v>110</v>
      </c>
      <c r="H14" s="116">
        <v>3882.6</v>
      </c>
      <c r="I14" s="117" cm="1">
        <f t="array" ref="I14">D14*H14</f>
        <v>427086</v>
      </c>
      <c r="J14" s="118" cm="1">
        <f t="array" ref="J14">D14*E14</f>
        <v>397561.747</v>
      </c>
      <c r="K14" s="119" cm="1">
        <f t="array" ref="K14">I14-J14</f>
        <v>29524.253</v>
      </c>
      <c r="L14" s="120" cm="1">
        <f t="array" ref="L14">IF(J14=0,"-",I14/J14-1)</f>
        <v>0.0742633143726476</v>
      </c>
      <c r="M14" s="121"/>
      <c r="N14" s="121"/>
      <c r="O14" t="str" s="122" cm="1">
        <f t="array" ref="O14">IF(M14="","",H14/M14-1)</f>
      </c>
      <c r="P14" t="s" s="123">
        <v>79</v>
      </c>
    </row>
    <row r="15" ht="18" customHeight="1">
      <c r="A15" s="107"/>
      <c r="B15" t="s" s="111">
        <v>96</v>
      </c>
      <c r="C15" t="s" s="112">
        <v>97</v>
      </c>
      <c r="D15" s="113">
        <v>240</v>
      </c>
      <c r="E15" s="114">
        <v>1336.4402</v>
      </c>
      <c r="F15" s="113">
        <v>200</v>
      </c>
      <c r="G15" s="115" cm="1">
        <f t="array" ref="G15">D15-F15</f>
        <v>40</v>
      </c>
      <c r="H15" s="116">
        <v>1744</v>
      </c>
      <c r="I15" s="117" cm="1">
        <f t="array" ref="I15">D15*H15</f>
        <v>418560</v>
      </c>
      <c r="J15" s="118" cm="1">
        <f t="array" ref="J15">D15*E15</f>
        <v>320745.648</v>
      </c>
      <c r="K15" s="119" cm="1">
        <f t="array" ref="K15">I15-J15</f>
        <v>97814.352</v>
      </c>
      <c r="L15" s="120" cm="1">
        <f t="array" ref="L15">IF(J15=0,"-",I15/J15-1)</f>
        <v>0.304959249205464</v>
      </c>
      <c r="M15" s="121"/>
      <c r="N15" s="121"/>
      <c r="O15" t="str" s="122" cm="1">
        <f t="array" ref="O15">IF(M15="","",H15/M15-1)</f>
      </c>
      <c r="P15" t="s" s="123">
        <v>79</v>
      </c>
    </row>
    <row r="16" ht="18" customHeight="1">
      <c r="A16" s="107"/>
      <c r="B16" t="s" s="111">
        <v>98</v>
      </c>
      <c r="C16" t="s" s="112">
        <v>87</v>
      </c>
      <c r="D16" s="113">
        <v>450</v>
      </c>
      <c r="E16" s="114">
        <v>626.6593</v>
      </c>
      <c r="F16" s="113">
        <v>175</v>
      </c>
      <c r="G16" s="115" cm="1">
        <f t="array" ref="G16">D16-F16</f>
        <v>275</v>
      </c>
      <c r="H16" s="116">
        <v>868.65</v>
      </c>
      <c r="I16" s="117" cm="1">
        <f t="array" ref="I16">D16*H16</f>
        <v>390892.5</v>
      </c>
      <c r="J16" s="118" cm="1">
        <f t="array" ref="J16">D16*E16</f>
        <v>281996.685</v>
      </c>
      <c r="K16" s="119" cm="1">
        <f t="array" ref="K16">I16-J16</f>
        <v>108895.815</v>
      </c>
      <c r="L16" s="120" cm="1">
        <f t="array" ref="L16">IF(J16=0,"-",I16/J16-1)</f>
        <v>0.386159911773431</v>
      </c>
      <c r="M16" s="121"/>
      <c r="N16" s="121"/>
      <c r="O16" t="str" s="122" cm="1">
        <f t="array" ref="O16">IF(M16="","",H16/M16-1)</f>
      </c>
      <c r="P16" t="s" s="123">
        <v>79</v>
      </c>
    </row>
    <row r="17" ht="18" customHeight="1">
      <c r="A17" s="107"/>
      <c r="B17" t="s" s="111">
        <v>99</v>
      </c>
      <c r="C17" t="s" s="112">
        <v>100</v>
      </c>
      <c r="D17" s="113">
        <v>375</v>
      </c>
      <c r="E17" s="114">
        <v>1006.4883</v>
      </c>
      <c r="F17" s="113">
        <v>0</v>
      </c>
      <c r="G17" s="115" cm="1">
        <f t="array" ref="G17">D17-F17</f>
        <v>375</v>
      </c>
      <c r="H17" s="116">
        <v>995.55</v>
      </c>
      <c r="I17" s="117" cm="1">
        <f t="array" ref="I17">D17*H17</f>
        <v>373331.25</v>
      </c>
      <c r="J17" s="118" cm="1">
        <f t="array" ref="J17">D17*E17</f>
        <v>377433.1125</v>
      </c>
      <c r="K17" s="119" cm="1">
        <f t="array" ref="K17">I17-J17</f>
        <v>-4101.8625</v>
      </c>
      <c r="L17" s="120" cm="1">
        <f t="array" ref="L17">IF(J17=0,"-",I17/J17-1)</f>
        <v>-0.0108677865405887</v>
      </c>
      <c r="M17" s="121"/>
      <c r="N17" s="121"/>
      <c r="O17" t="str" s="122" cm="1">
        <f t="array" ref="O17">IF(M17="","",H17/M17-1)</f>
      </c>
      <c r="P17" t="s" s="123">
        <v>79</v>
      </c>
    </row>
    <row r="18" ht="18" customHeight="1">
      <c r="A18" s="107"/>
      <c r="B18" t="s" s="111">
        <v>101</v>
      </c>
      <c r="C18" t="s" s="112">
        <v>102</v>
      </c>
      <c r="D18" s="113">
        <v>850</v>
      </c>
      <c r="E18" s="114">
        <v>472.3749</v>
      </c>
      <c r="F18" s="113">
        <v>0</v>
      </c>
      <c r="G18" s="115" cm="1">
        <f t="array" ref="G18">D18-F18</f>
        <v>850</v>
      </c>
      <c r="H18" s="116">
        <v>431.3</v>
      </c>
      <c r="I18" s="117" cm="1">
        <f t="array" ref="I18">D18*H18</f>
        <v>366605</v>
      </c>
      <c r="J18" s="118" cm="1">
        <f t="array" ref="J18">D18*E18</f>
        <v>401518.665</v>
      </c>
      <c r="K18" s="119" cm="1">
        <f t="array" ref="K18">I18-J18</f>
        <v>-34913.665</v>
      </c>
      <c r="L18" s="120" cm="1">
        <f t="array" ref="L18">IF(J18=0,"-",I18/J18-1)</f>
        <v>-0.08695402740492771</v>
      </c>
      <c r="M18" s="121"/>
      <c r="N18" s="121"/>
      <c r="O18" t="str" s="122" cm="1">
        <f t="array" ref="O18">IF(M18="","",H18/M18-1)</f>
      </c>
      <c r="P18" t="s" s="123">
        <v>79</v>
      </c>
    </row>
    <row r="19" ht="18" customHeight="1">
      <c r="A19" s="107"/>
      <c r="B19" t="s" s="111">
        <v>103</v>
      </c>
      <c r="C19" t="s" s="112">
        <v>91</v>
      </c>
      <c r="D19" s="113">
        <v>400</v>
      </c>
      <c r="E19" s="114">
        <v>876.6309</v>
      </c>
      <c r="F19" s="113">
        <v>229</v>
      </c>
      <c r="G19" s="115" cm="1">
        <f t="array" ref="G19">D19-F19</f>
        <v>171</v>
      </c>
      <c r="H19" s="116">
        <v>853.9</v>
      </c>
      <c r="I19" s="117" cm="1">
        <f t="array" ref="I19">D19*H19</f>
        <v>341560</v>
      </c>
      <c r="J19" s="118" cm="1">
        <f t="array" ref="J19">D19*E19</f>
        <v>350652.36</v>
      </c>
      <c r="K19" s="119" cm="1">
        <f t="array" ref="K19">I19-J19</f>
        <v>-9092.360000000001</v>
      </c>
      <c r="L19" s="120" cm="1">
        <f t="array" ref="L19">IF(J19=0,"-",I19/J19-1)</f>
        <v>-0.0259298411680446</v>
      </c>
      <c r="M19" s="121"/>
      <c r="N19" s="121"/>
      <c r="O19" t="str" s="122" cm="1">
        <f t="array" ref="O19">IF(M19="","",H19/M19-1)</f>
      </c>
      <c r="P19" t="s" s="123">
        <v>79</v>
      </c>
    </row>
    <row r="20" ht="18" customHeight="1">
      <c r="A20" s="107"/>
      <c r="B20" t="s" s="111">
        <v>104</v>
      </c>
      <c r="C20" t="s" s="112">
        <v>83</v>
      </c>
      <c r="D20" s="113">
        <v>22000</v>
      </c>
      <c r="E20" s="114">
        <v>14.0369</v>
      </c>
      <c r="F20" s="113">
        <v>0</v>
      </c>
      <c r="G20" s="115" cm="1">
        <f t="array" ref="G20">D20-F20</f>
        <v>22000</v>
      </c>
      <c r="H20" s="116">
        <v>13.14</v>
      </c>
      <c r="I20" s="117" cm="1">
        <f t="array" ref="I20">D20*H20</f>
        <v>289080</v>
      </c>
      <c r="J20" s="118" cm="1">
        <f t="array" ref="J20">D20*E20</f>
        <v>308811.8</v>
      </c>
      <c r="K20" s="119" cm="1">
        <f t="array" ref="K20">I20-J20</f>
        <v>-19731.8</v>
      </c>
      <c r="L20" s="120" cm="1">
        <f t="array" ref="L20">IF(J20=0,"-",I20/J20-1)</f>
        <v>-0.0638958744452123</v>
      </c>
      <c r="M20" s="121"/>
      <c r="N20" s="121"/>
      <c r="O20" t="str" s="122" cm="1">
        <f t="array" ref="O20">IF(M20="","",H20/M20-1)</f>
      </c>
      <c r="P20" t="s" s="123">
        <v>79</v>
      </c>
    </row>
    <row r="21" ht="18" customHeight="1">
      <c r="A21" s="107"/>
      <c r="B21" t="s" s="111">
        <v>105</v>
      </c>
      <c r="C21" t="s" s="112">
        <v>97</v>
      </c>
      <c r="D21" s="113">
        <v>235</v>
      </c>
      <c r="E21" s="114">
        <v>1278.1598</v>
      </c>
      <c r="F21" s="113">
        <v>190</v>
      </c>
      <c r="G21" s="115" cm="1">
        <f t="array" ref="G21">D21-F21</f>
        <v>45</v>
      </c>
      <c r="H21" s="116">
        <v>1214.7</v>
      </c>
      <c r="I21" s="117" cm="1">
        <f t="array" ref="I21">D21*H21</f>
        <v>285454.5</v>
      </c>
      <c r="J21" s="118" cm="1">
        <f t="array" ref="J21">D21*E21</f>
        <v>300367.553</v>
      </c>
      <c r="K21" s="119" cm="1">
        <f t="array" ref="K21">I21-J21</f>
        <v>-14913.053</v>
      </c>
      <c r="L21" s="120" cm="1">
        <f t="array" ref="L21">IF(J21=0,"-",I21/J21-1)</f>
        <v>-0.0496493474446622</v>
      </c>
      <c r="M21" s="121"/>
      <c r="N21" s="121"/>
      <c r="O21" t="str" s="122" cm="1">
        <f t="array" ref="O21">IF(M21="","",H21/M21-1)</f>
      </c>
      <c r="P21" t="s" s="123">
        <v>79</v>
      </c>
    </row>
    <row r="22" ht="18" customHeight="1">
      <c r="A22" s="107"/>
      <c r="B22" t="s" s="111">
        <v>106</v>
      </c>
      <c r="C22" t="s" s="112">
        <v>107</v>
      </c>
      <c r="D22" s="113">
        <v>450</v>
      </c>
      <c r="E22" s="114">
        <v>706.2689</v>
      </c>
      <c r="F22" s="113">
        <v>200</v>
      </c>
      <c r="G22" s="115" cm="1">
        <f t="array" ref="G22">D22-F22</f>
        <v>250</v>
      </c>
      <c r="H22" s="116">
        <v>630.35</v>
      </c>
      <c r="I22" s="117" cm="1">
        <f t="array" ref="I22">D22*H22</f>
        <v>283657.5</v>
      </c>
      <c r="J22" s="118" cm="1">
        <f t="array" ref="J22">D22*E22</f>
        <v>317821.005</v>
      </c>
      <c r="K22" s="119" cm="1">
        <f t="array" ref="K22">I22-J22</f>
        <v>-34163.505</v>
      </c>
      <c r="L22" s="120" cm="1">
        <f t="array" ref="L22">IF(J22=0,"-",I22/J22-1)</f>
        <v>-0.10749291098617</v>
      </c>
      <c r="M22" s="121"/>
      <c r="N22" s="121"/>
      <c r="O22" t="str" s="122" cm="1">
        <f t="array" ref="O22">IF(M22="","",H22/M22-1)</f>
      </c>
      <c r="P22" t="s" s="123">
        <v>79</v>
      </c>
    </row>
    <row r="23" ht="18" customHeight="1">
      <c r="A23" s="107"/>
      <c r="B23" t="s" s="111">
        <v>108</v>
      </c>
      <c r="C23" t="s" s="112">
        <v>97</v>
      </c>
      <c r="D23" s="113">
        <v>300</v>
      </c>
      <c r="E23" s="114">
        <v>928.2137</v>
      </c>
      <c r="F23" s="113">
        <v>0</v>
      </c>
      <c r="G23" s="115" cm="1">
        <f t="array" ref="G23">D23-F23</f>
        <v>300</v>
      </c>
      <c r="H23" s="116">
        <v>896.9</v>
      </c>
      <c r="I23" s="117" cm="1">
        <f t="array" ref="I23">D23*H23</f>
        <v>269070</v>
      </c>
      <c r="J23" s="118" cm="1">
        <f t="array" ref="J23">D23*E23</f>
        <v>278464.11</v>
      </c>
      <c r="K23" s="119" cm="1">
        <f t="array" ref="K23">I23-J23</f>
        <v>-9394.110000000001</v>
      </c>
      <c r="L23" s="120" cm="1">
        <f t="array" ref="L23">IF(J23=0,"-",I23/J23-1)</f>
        <v>-0.0337354426033574</v>
      </c>
      <c r="M23" s="121"/>
      <c r="N23" s="121"/>
      <c r="O23" t="str" s="122" cm="1">
        <f t="array" ref="O23">IF(M23="","",H23/M23-1)</f>
      </c>
      <c r="P23" t="s" s="123">
        <v>79</v>
      </c>
    </row>
    <row r="24" ht="18" customHeight="1">
      <c r="A24" s="107"/>
      <c r="B24" t="s" s="111">
        <v>109</v>
      </c>
      <c r="C24" t="s" s="112">
        <v>95</v>
      </c>
      <c r="D24" s="113">
        <v>180</v>
      </c>
      <c r="E24" s="114">
        <v>960.1683</v>
      </c>
      <c r="F24" s="113">
        <v>180</v>
      </c>
      <c r="G24" s="115" cm="1">
        <f t="array" ref="G24">D24-F24</f>
        <v>0</v>
      </c>
      <c r="H24" s="116">
        <v>1416.5</v>
      </c>
      <c r="I24" s="117" cm="1">
        <f t="array" ref="I24">D24*H24</f>
        <v>254970</v>
      </c>
      <c r="J24" s="118" cm="1">
        <f t="array" ref="J24">D24*E24</f>
        <v>172830.294</v>
      </c>
      <c r="K24" s="119" cm="1">
        <f t="array" ref="K24">I24-J24</f>
        <v>82139.706000000006</v>
      </c>
      <c r="L24" s="120" cm="1">
        <f t="array" ref="L24">IF(J24=0,"-",I24/J24-1)</f>
        <v>0.475262201428645</v>
      </c>
      <c r="M24" s="121"/>
      <c r="N24" s="121"/>
      <c r="O24" t="str" s="122" cm="1">
        <f t="array" ref="O24">IF(M24="","",H24/M24-1)</f>
      </c>
      <c r="P24" t="s" s="123">
        <v>79</v>
      </c>
    </row>
    <row r="25" ht="18" customHeight="1">
      <c r="A25" s="107"/>
      <c r="B25" t="s" s="111">
        <v>110</v>
      </c>
      <c r="C25" t="s" s="112">
        <v>111</v>
      </c>
      <c r="D25" s="113">
        <v>700</v>
      </c>
      <c r="E25" s="114">
        <v>416.1604</v>
      </c>
      <c r="F25" s="113">
        <v>0</v>
      </c>
      <c r="G25" s="115" cm="1">
        <f t="array" ref="G25">D25-F25</f>
        <v>700</v>
      </c>
      <c r="H25" s="116">
        <v>340.5</v>
      </c>
      <c r="I25" s="117" cm="1">
        <f t="array" ref="I25">D25*H25</f>
        <v>238350</v>
      </c>
      <c r="J25" s="118" cm="1">
        <f t="array" ref="J25">D25*E25</f>
        <v>291312.28</v>
      </c>
      <c r="K25" s="119" cm="1">
        <f t="array" ref="K25">I25-J25</f>
        <v>-52962.28</v>
      </c>
      <c r="L25" s="120" cm="1">
        <f t="array" ref="L25">IF(J25=0,"-",I25/J25-1)</f>
        <v>-0.181805861393828</v>
      </c>
      <c r="M25" s="121"/>
      <c r="N25" s="121"/>
      <c r="O25" t="str" s="122" cm="1">
        <f t="array" ref="O25">IF(M25="","",H25/M25-1)</f>
      </c>
      <c r="P25" t="s" s="123">
        <v>79</v>
      </c>
    </row>
    <row r="26" ht="18" customHeight="1">
      <c r="A26" s="107"/>
      <c r="B26" t="s" s="111">
        <v>112</v>
      </c>
      <c r="C26" t="s" s="112">
        <v>113</v>
      </c>
      <c r="D26" s="113">
        <v>1750</v>
      </c>
      <c r="E26" s="114">
        <v>144.9455</v>
      </c>
      <c r="F26" s="113">
        <v>720</v>
      </c>
      <c r="G26" s="115" cm="1">
        <f t="array" ref="G26">D26-F26</f>
        <v>1030</v>
      </c>
      <c r="H26" s="116">
        <v>118.59</v>
      </c>
      <c r="I26" s="117" cm="1">
        <f t="array" ref="I26">D26*H26</f>
        <v>207532.5</v>
      </c>
      <c r="J26" s="118" cm="1">
        <f t="array" ref="J26">D26*E26</f>
        <v>253654.625</v>
      </c>
      <c r="K26" s="119" cm="1">
        <f t="array" ref="K26">I26-J26</f>
        <v>-46122.125</v>
      </c>
      <c r="L26" s="120" cm="1">
        <f t="array" ref="L26">IF(J26=0,"-",I26/J26-1)</f>
        <v>-0.181830412120418</v>
      </c>
      <c r="M26" s="121"/>
      <c r="N26" s="121"/>
      <c r="O26" t="str" s="122" cm="1">
        <f t="array" ref="O26">IF(M26="","",H26/M26-1)</f>
      </c>
      <c r="P26" t="s" s="123">
        <v>79</v>
      </c>
    </row>
    <row r="27" ht="18" customHeight="1">
      <c r="A27" s="107"/>
      <c r="B27" t="s" s="111">
        <v>114</v>
      </c>
      <c r="C27" t="s" s="112">
        <v>89</v>
      </c>
      <c r="D27" s="113">
        <v>1601</v>
      </c>
      <c r="E27" s="114">
        <v>109.5427</v>
      </c>
      <c r="F27" s="113">
        <v>1450</v>
      </c>
      <c r="G27" s="115" cm="1">
        <f t="array" ref="G27">D27-F27</f>
        <v>151</v>
      </c>
      <c r="H27" s="116">
        <v>126.25</v>
      </c>
      <c r="I27" s="117" cm="1">
        <f t="array" ref="I27">D27*H27</f>
        <v>202126.25</v>
      </c>
      <c r="J27" s="118" cm="1">
        <f t="array" ref="J27">D27*E27</f>
        <v>175377.8627</v>
      </c>
      <c r="K27" s="119" cm="1">
        <f t="array" ref="K27">I27-J27</f>
        <v>26748.3873</v>
      </c>
      <c r="L27" s="120" cm="1">
        <f t="array" ref="L27">IF(J27=0,"-",I27/J27-1)</f>
        <v>0.15251860689941</v>
      </c>
      <c r="M27" s="121"/>
      <c r="N27" s="121"/>
      <c r="O27" t="str" s="122" cm="1">
        <f t="array" ref="O27">IF(M27="","",H27/M27-1)</f>
      </c>
      <c r="P27" t="s" s="123">
        <v>79</v>
      </c>
    </row>
    <row r="28" ht="18" customHeight="1">
      <c r="A28" s="107"/>
      <c r="B28" t="s" s="111">
        <v>115</v>
      </c>
      <c r="C28" t="s" s="112">
        <v>111</v>
      </c>
      <c r="D28" s="113">
        <v>40</v>
      </c>
      <c r="E28" s="114">
        <v>5143.1</v>
      </c>
      <c r="F28" s="113">
        <v>0</v>
      </c>
      <c r="G28" s="115" cm="1">
        <f t="array" ref="G28">D28-F28</f>
        <v>40</v>
      </c>
      <c r="H28" s="116">
        <v>4709.1</v>
      </c>
      <c r="I28" s="117" cm="1">
        <f t="array" ref="I28">D28*H28</f>
        <v>188364</v>
      </c>
      <c r="J28" s="118" cm="1">
        <f t="array" ref="J28">D28*E28</f>
        <v>205724</v>
      </c>
      <c r="K28" s="119" cm="1">
        <f t="array" ref="K28">I28-J28</f>
        <v>-17360</v>
      </c>
      <c r="L28" s="120" cm="1">
        <f t="array" ref="L28">IF(J28=0,"-",I28/J28-1)</f>
        <v>-0.08438490404619781</v>
      </c>
      <c r="M28" s="121"/>
      <c r="N28" s="121"/>
      <c r="O28" t="str" s="122" cm="1">
        <f t="array" ref="O28">IF(M28="","",H28/M28-1)</f>
      </c>
      <c r="P28" t="s" s="123">
        <v>79</v>
      </c>
    </row>
    <row r="29" ht="18" customHeight="1">
      <c r="A29" s="107"/>
      <c r="B29" t="s" s="111">
        <v>116</v>
      </c>
      <c r="C29" t="s" s="112">
        <v>78</v>
      </c>
      <c r="D29" s="113">
        <v>5000</v>
      </c>
      <c r="E29" s="114">
        <v>22.8272</v>
      </c>
      <c r="F29" s="113">
        <v>0</v>
      </c>
      <c r="G29" s="115" cm="1">
        <f t="array" ref="G29">D29-F29</f>
        <v>5000</v>
      </c>
      <c r="H29" s="116">
        <v>27.1</v>
      </c>
      <c r="I29" s="117" cm="1">
        <f t="array" ref="I29">D29*H29</f>
        <v>135500</v>
      </c>
      <c r="J29" s="118" cm="1">
        <f t="array" ref="J29">D29*E29</f>
        <v>114136</v>
      </c>
      <c r="K29" s="119" cm="1">
        <f t="array" ref="K29">I29-J29</f>
        <v>21364</v>
      </c>
      <c r="L29" s="120" cm="1">
        <f t="array" ref="L29">IF(J29=0,"-",I29/J29-1)</f>
        <v>0.187180206069952</v>
      </c>
      <c r="M29" s="121"/>
      <c r="N29" s="121"/>
      <c r="O29" t="str" s="122" cm="1">
        <f t="array" ref="O29">IF(M29="","",H29/M29-1)</f>
      </c>
      <c r="P29" t="s" s="123">
        <v>79</v>
      </c>
    </row>
    <row r="30" ht="18" customHeight="1">
      <c r="A30" s="107"/>
      <c r="B30" t="s" s="111">
        <v>117</v>
      </c>
      <c r="C30" t="s" s="112">
        <v>111</v>
      </c>
      <c r="D30" s="113">
        <v>40</v>
      </c>
      <c r="E30" s="114">
        <v>3310.275</v>
      </c>
      <c r="F30" s="113">
        <v>0</v>
      </c>
      <c r="G30" s="115" cm="1">
        <f t="array" ref="G30">D30-F30</f>
        <v>40</v>
      </c>
      <c r="H30" s="116">
        <v>3222.15</v>
      </c>
      <c r="I30" s="117" cm="1">
        <f t="array" ref="I30">D30*H30</f>
        <v>128886</v>
      </c>
      <c r="J30" s="118" cm="1">
        <f t="array" ref="J30">D30*E30</f>
        <v>132411</v>
      </c>
      <c r="K30" s="119" cm="1">
        <f t="array" ref="K30">I30-J30</f>
        <v>-3525</v>
      </c>
      <c r="L30" s="120" cm="1">
        <f t="array" ref="L30">IF(J30=0,"-",I30/J30-1)</f>
        <v>-0.0266216553005415</v>
      </c>
      <c r="M30" s="121"/>
      <c r="N30" s="121"/>
      <c r="O30" t="str" s="122" cm="1">
        <f t="array" ref="O30">IF(M30="","",H30/M30-1)</f>
      </c>
      <c r="P30" t="s" s="123">
        <v>79</v>
      </c>
    </row>
    <row r="31" ht="18" customHeight="1">
      <c r="A31" s="107"/>
      <c r="B31" t="s" s="111">
        <v>118</v>
      </c>
      <c r="C31" t="s" s="112">
        <v>119</v>
      </c>
      <c r="D31" s="113">
        <v>6</v>
      </c>
      <c r="E31" s="114">
        <v>16262.96</v>
      </c>
      <c r="F31" s="113">
        <v>0</v>
      </c>
      <c r="G31" s="115" cm="1">
        <f t="array" ref="G31">D31-F31</f>
        <v>6</v>
      </c>
      <c r="H31" s="116">
        <v>16392.83</v>
      </c>
      <c r="I31" s="117" cm="1">
        <f t="array" ref="I31">D31*H31</f>
        <v>98356.98</v>
      </c>
      <c r="J31" s="118" cm="1">
        <f t="array" ref="J31">D31*E31</f>
        <v>97577.759999999995</v>
      </c>
      <c r="K31" s="119" cm="1">
        <f t="array" ref="K31">I31-J31</f>
        <v>779.22</v>
      </c>
      <c r="L31" s="120" cm="1">
        <f t="array" ref="L31">IF(J31=0,"-",I31/J31-1)</f>
        <v>0.007985631152016609</v>
      </c>
      <c r="M31" s="121"/>
      <c r="N31" s="121"/>
      <c r="O31" t="str" s="122" cm="1">
        <f t="array" ref="O31">IF(M31="","",H31/M31-1)</f>
      </c>
      <c r="P31" t="s" s="123">
        <v>120</v>
      </c>
    </row>
    <row r="32" ht="18" customHeight="1">
      <c r="A32" s="98"/>
      <c r="B32" s="124"/>
      <c r="C32" s="125"/>
      <c r="D32" s="126"/>
      <c r="E32" s="127"/>
      <c r="F32" s="126"/>
      <c r="G32" s="128"/>
      <c r="H32" s="129"/>
      <c r="I32" s="130"/>
      <c r="J32" s="131"/>
      <c r="K32" s="132"/>
      <c r="L32" s="133"/>
      <c r="M32" s="134"/>
      <c r="N32" s="134"/>
      <c r="O32" s="133"/>
      <c r="P32" s="135"/>
    </row>
    <row r="33" ht="18" customHeight="1">
      <c r="A33" s="98"/>
      <c r="B33" s="136"/>
      <c r="C33" s="137"/>
      <c r="D33" s="138"/>
      <c r="E33" s="139"/>
      <c r="F33" s="138"/>
      <c r="G33" s="140"/>
      <c r="H33" s="141"/>
      <c r="I33" s="142"/>
      <c r="J33" s="143"/>
      <c r="K33" s="144"/>
      <c r="L33" s="145"/>
      <c r="M33" s="146"/>
      <c r="N33" s="146"/>
      <c r="O33" s="145"/>
      <c r="P33" s="147"/>
    </row>
    <row r="34" ht="18" customHeight="1">
      <c r="A34" s="107"/>
      <c r="B34" t="s" s="148">
        <v>121</v>
      </c>
      <c r="C34" s="149"/>
      <c r="D34" s="149"/>
      <c r="E34" s="149"/>
      <c r="F34" s="149"/>
      <c r="G34" s="149"/>
      <c r="H34" s="149"/>
      <c r="I34" s="150" cm="1">
        <f t="array" ref="I34">SUM(I5:I33)</f>
        <v>10119823.86</v>
      </c>
      <c r="J34" s="151" cm="1">
        <f t="array" ref="J34">SUM(J5:J33)</f>
        <v>8790005.5942</v>
      </c>
      <c r="K34" s="152" cm="1">
        <f t="array" ref="K34">SUM(K5:K33)</f>
        <v>1329818.2658</v>
      </c>
      <c r="L34" s="153" cm="1">
        <f t="array" ref="L34">I34/J34-1</f>
        <v>0.151287533500259</v>
      </c>
      <c r="M34" s="149"/>
      <c r="N34" s="149"/>
      <c r="O34" s="149"/>
      <c r="P34" s="149"/>
    </row>
  </sheetData>
  <mergeCells count="2">
    <mergeCell ref="B1:P1"/>
    <mergeCell ref="B2:P2"/>
  </mergeCells>
  <conditionalFormatting sqref="K5:L34 O5:O33">
    <cfRule type="cellIs" dxfId="0" priority="1" operator="lessThan" stopIfTrue="1">
      <formula>0</formula>
    </cfRule>
  </conditionalFormatting>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N34"/>
  <sheetViews>
    <sheetView workbookViewId="0" showGridLines="0" defaultGridColor="1"/>
  </sheetViews>
  <sheetFormatPr defaultColWidth="8.66667" defaultRowHeight="15" customHeight="1" outlineLevelRow="0" outlineLevelCol="0"/>
  <cols>
    <col min="1" max="1" width="8.67188" style="154" customWidth="1"/>
    <col min="2" max="2" width="14" style="154" customWidth="1"/>
    <col min="3" max="3" width="20" style="154" customWidth="1"/>
    <col min="4" max="4" width="16" style="154" customWidth="1"/>
    <col min="5" max="5" width="7" style="154" customWidth="1"/>
    <col min="6" max="7" width="10" style="154" customWidth="1"/>
    <col min="8" max="8" width="7" style="154" customWidth="1"/>
    <col min="9" max="10" width="12" style="154" customWidth="1"/>
    <col min="11" max="12" width="7" style="154" customWidth="1"/>
    <col min="13" max="14" width="36" style="154" customWidth="1"/>
    <col min="15" max="16384" width="8.67188" style="154" customWidth="1"/>
  </cols>
  <sheetData>
    <row r="1" ht="21.75" customHeight="1">
      <c r="A1" s="98"/>
      <c r="B1" t="s" s="155">
        <v>122</v>
      </c>
      <c r="C1" s="156"/>
      <c r="D1" s="156"/>
      <c r="E1" s="156"/>
      <c r="F1" s="156"/>
      <c r="G1" s="156"/>
      <c r="H1" s="156"/>
      <c r="I1" s="156"/>
      <c r="J1" s="156"/>
      <c r="K1" s="156"/>
      <c r="L1" s="156"/>
      <c r="M1" s="156"/>
      <c r="N1" s="157"/>
    </row>
    <row r="2" ht="15.75" customHeight="1">
      <c r="A2" s="98"/>
      <c r="B2" t="s" s="158">
        <v>123</v>
      </c>
      <c r="C2" s="159"/>
      <c r="D2" s="159"/>
      <c r="E2" s="159"/>
      <c r="F2" s="159"/>
      <c r="G2" s="159"/>
      <c r="H2" s="159"/>
      <c r="I2" s="159"/>
      <c r="J2" s="159"/>
      <c r="K2" s="159"/>
      <c r="L2" s="159"/>
      <c r="M2" s="159"/>
      <c r="N2" s="160"/>
    </row>
    <row r="3" ht="13.55" customHeight="1">
      <c r="A3" s="105"/>
      <c r="B3" s="161"/>
      <c r="C3" s="161"/>
      <c r="D3" s="161"/>
      <c r="E3" s="161"/>
      <c r="F3" s="161"/>
      <c r="G3" s="161"/>
      <c r="H3" s="161"/>
      <c r="I3" s="161"/>
      <c r="J3" s="161"/>
      <c r="K3" s="161"/>
      <c r="L3" s="161"/>
      <c r="M3" s="161"/>
      <c r="N3" s="161"/>
    </row>
    <row r="4" ht="24" customHeight="1">
      <c r="A4" s="162"/>
      <c r="B4" t="s" s="163">
        <v>124</v>
      </c>
      <c r="C4" t="s" s="163">
        <v>125</v>
      </c>
      <c r="D4" t="s" s="163">
        <v>126</v>
      </c>
      <c r="E4" t="s" s="163">
        <v>127</v>
      </c>
      <c r="F4" t="s" s="163">
        <v>128</v>
      </c>
      <c r="G4" t="s" s="163">
        <v>129</v>
      </c>
      <c r="H4" t="s" s="163">
        <v>130</v>
      </c>
      <c r="I4" t="s" s="163">
        <v>69</v>
      </c>
      <c r="J4" t="s" s="163">
        <v>71</v>
      </c>
      <c r="K4" t="s" s="163">
        <v>131</v>
      </c>
      <c r="L4" t="s" s="163">
        <v>66</v>
      </c>
      <c r="M4" t="s" s="163">
        <v>132</v>
      </c>
      <c r="N4" t="s" s="163">
        <v>133</v>
      </c>
    </row>
    <row r="5" ht="18" customHeight="1">
      <c r="A5" s="162"/>
      <c r="B5" t="s" s="164">
        <v>77</v>
      </c>
      <c r="C5" t="s" s="165">
        <v>78</v>
      </c>
      <c r="D5" t="s" s="166">
        <v>134</v>
      </c>
      <c r="E5" s="167" cm="1">
        <f t="array" ref="E5">'📊 Portfolio Brief'!D11</f>
        <v>0.109329966144292</v>
      </c>
      <c r="F5" s="168" cm="1">
        <f t="array" ref="F5">_xlfn.IFERROR(VLOOKUP(B5,'📥 Price Hub'!$B$5:$H$34,7,0),0)</f>
        <v>138.3</v>
      </c>
      <c r="G5" s="169">
        <v>84.4748</v>
      </c>
      <c r="H5" s="170" cm="1">
        <f t="array" ref="H5">'📊 Portfolio Brief'!J11</f>
        <v>0.637174636696388</v>
      </c>
      <c r="I5" s="171" cm="1">
        <f t="array" ref="I5">'📊 Portfolio Brief'!H11</f>
        <v>1106400</v>
      </c>
      <c r="J5" s="172" cm="1">
        <f t="array" ref="J5">'📊 Portfolio Brief'!I11</f>
        <v>430601.6</v>
      </c>
      <c r="K5" s="173">
        <v>8000</v>
      </c>
      <c r="L5" s="173">
        <v>0</v>
      </c>
      <c r="M5" t="s" s="174">
        <v>135</v>
      </c>
      <c r="N5" t="s" s="174">
        <v>136</v>
      </c>
    </row>
    <row r="6" ht="18" customHeight="1">
      <c r="A6" s="162"/>
      <c r="B6" t="s" s="164">
        <v>80</v>
      </c>
      <c r="C6" t="s" s="165">
        <v>81</v>
      </c>
      <c r="D6" t="s" s="166">
        <v>137</v>
      </c>
      <c r="E6" s="167" cm="1">
        <f t="array" ref="E6">'📊 Portfolio Brief'!D12</f>
        <v>0.0700432151592805</v>
      </c>
      <c r="F6" s="168" cm="1">
        <f t="array" ref="F6">_xlfn.IFERROR(VLOOKUP(B6,'📥 Price Hub'!$B$5:$H$34,7,0),0)</f>
        <v>945.1</v>
      </c>
      <c r="G6" s="169">
        <v>660</v>
      </c>
      <c r="H6" s="170" cm="1">
        <f t="array" ref="H6">'📊 Portfolio Brief'!J12</f>
        <v>0.431969696969697</v>
      </c>
      <c r="I6" s="171" cm="1">
        <f t="array" ref="I6">'📊 Portfolio Brief'!H12</f>
        <v>708825</v>
      </c>
      <c r="J6" s="172" cm="1">
        <f t="array" ref="J6">'📊 Portfolio Brief'!I12</f>
        <v>213825</v>
      </c>
      <c r="K6" s="173">
        <v>750</v>
      </c>
      <c r="L6" s="173">
        <v>0</v>
      </c>
      <c r="M6" t="s" s="174">
        <v>138</v>
      </c>
      <c r="N6" t="s" s="174">
        <v>139</v>
      </c>
    </row>
    <row r="7" ht="18" customHeight="1">
      <c r="A7" s="162"/>
      <c r="B7" t="s" s="164">
        <v>82</v>
      </c>
      <c r="C7" t="s" s="165">
        <v>83</v>
      </c>
      <c r="D7" t="s" s="166">
        <v>140</v>
      </c>
      <c r="E7" s="167" cm="1">
        <f t="array" ref="E7">'📊 Portfolio Brief'!D13</f>
        <v>0.0540242584815108</v>
      </c>
      <c r="F7" s="168" cm="1">
        <f t="array" ref="F7">_xlfn.IFERROR(VLOOKUP(B7,'📥 Price Hub'!$B$5:$H$34,7,0),0)</f>
        <v>54.27</v>
      </c>
      <c r="G7" s="169">
        <v>41.8047</v>
      </c>
      <c r="H7" s="170" cm="1">
        <f t="array" ref="H7">'📊 Portfolio Brief'!J13</f>
        <v>0.29817939131246</v>
      </c>
      <c r="I7" s="171" cm="1">
        <f t="array" ref="I7">'📊 Portfolio Brief'!H13</f>
        <v>546715.98</v>
      </c>
      <c r="J7" s="172" cm="1">
        <f t="array" ref="J7">'📊 Portfolio Brief'!I13</f>
        <v>125575.4322</v>
      </c>
      <c r="K7" s="173">
        <v>10074</v>
      </c>
      <c r="L7" s="173">
        <v>0</v>
      </c>
      <c r="M7" t="s" s="174">
        <v>141</v>
      </c>
      <c r="N7" t="s" s="174">
        <v>142</v>
      </c>
    </row>
    <row r="8" ht="18" customHeight="1">
      <c r="A8" s="162"/>
      <c r="B8" t="s" s="175">
        <v>84</v>
      </c>
      <c r="C8" t="s" s="176">
        <v>85</v>
      </c>
      <c r="D8" t="s" s="177">
        <v>143</v>
      </c>
      <c r="E8" s="178" cm="1">
        <f t="array" ref="E8">'📊 Portfolio Brief'!D14</f>
        <v>0.0515997123293804</v>
      </c>
      <c r="F8" s="168" cm="1">
        <f t="array" ref="F8">_xlfn.IFERROR(VLOOKUP(B8,'📥 Price Hub'!$B$5:$H$34,7,0),0)</f>
        <v>435.15</v>
      </c>
      <c r="G8" s="179">
        <v>388.9194</v>
      </c>
      <c r="H8" s="180" cm="1">
        <f t="array" ref="H8">'📊 Portfolio Brief'!J14</f>
        <v>0.118869359563961</v>
      </c>
      <c r="I8" s="181" cm="1">
        <f t="array" ref="I8">'📊 Portfolio Brief'!H14</f>
        <v>522180</v>
      </c>
      <c r="J8" s="182" cm="1">
        <f t="array" ref="J8">'📊 Portfolio Brief'!I14</f>
        <v>55476.72</v>
      </c>
      <c r="K8" s="183">
        <v>1200</v>
      </c>
      <c r="L8" s="183">
        <v>0</v>
      </c>
      <c r="M8" t="s" s="184">
        <v>144</v>
      </c>
      <c r="N8" t="s" s="184">
        <v>145</v>
      </c>
    </row>
    <row r="9" ht="18" customHeight="1">
      <c r="A9" s="162"/>
      <c r="B9" t="s" s="164">
        <v>86</v>
      </c>
      <c r="C9" t="s" s="165">
        <v>87</v>
      </c>
      <c r="D9" t="s" s="166">
        <v>137</v>
      </c>
      <c r="E9" s="167" cm="1">
        <f t="array" ref="E9">'📊 Portfolio Brief'!D15</f>
        <v>0.0505962363657187</v>
      </c>
      <c r="F9" s="168" cm="1">
        <f t="array" ref="F9">_xlfn.IFERROR(VLOOKUP(B9,'📥 Price Hub'!$B$5:$H$34,7,0),0)</f>
        <v>1365.4</v>
      </c>
      <c r="G9" s="169">
        <v>1154.2536</v>
      </c>
      <c r="H9" s="170" cm="1">
        <f t="array" ref="H9">'📊 Portfolio Brief'!J15</f>
        <v>0.182928950795562</v>
      </c>
      <c r="I9" s="171" cm="1">
        <f t="array" ref="I9">'📊 Portfolio Brief'!H15</f>
        <v>512025</v>
      </c>
      <c r="J9" s="172" cm="1">
        <f t="array" ref="J9">'📊 Portfolio Brief'!I15</f>
        <v>79179.899999999994</v>
      </c>
      <c r="K9" s="173">
        <v>375</v>
      </c>
      <c r="L9" s="173">
        <v>350</v>
      </c>
      <c r="M9" t="s" s="174">
        <v>146</v>
      </c>
      <c r="N9" t="s" s="174">
        <v>147</v>
      </c>
    </row>
    <row r="10" ht="18" customHeight="1">
      <c r="A10" s="162"/>
      <c r="B10" t="s" s="164">
        <v>88</v>
      </c>
      <c r="C10" t="s" s="165">
        <v>89</v>
      </c>
      <c r="D10" t="s" s="166">
        <v>137</v>
      </c>
      <c r="E10" s="167" cm="1">
        <f t="array" ref="E10">'📊 Portfolio Brief'!D16</f>
        <v>0.0468200243951677</v>
      </c>
      <c r="F10" s="168" cm="1">
        <f t="array" ref="F10">_xlfn.IFERROR(VLOOKUP(B10,'📥 Price Hub'!$B$5:$H$34,7,0),0)</f>
        <v>1074.4</v>
      </c>
      <c r="G10" s="169">
        <v>934.6512</v>
      </c>
      <c r="H10" s="170" cm="1">
        <f t="array" ref="H10">'📊 Portfolio Brief'!J16</f>
        <v>0.149519735276647</v>
      </c>
      <c r="I10" s="171" cm="1">
        <f t="array" ref="I10">'📊 Portfolio Brief'!H16</f>
        <v>473810.4</v>
      </c>
      <c r="J10" s="172" cm="1">
        <f t="array" ref="J10">'📊 Portfolio Brief'!I16</f>
        <v>61629.2208</v>
      </c>
      <c r="K10" s="173">
        <v>441</v>
      </c>
      <c r="L10" s="173">
        <v>441</v>
      </c>
      <c r="M10" t="s" s="174">
        <v>148</v>
      </c>
      <c r="N10" t="s" s="174">
        <v>149</v>
      </c>
    </row>
    <row r="11" ht="18" customHeight="1">
      <c r="A11" s="162"/>
      <c r="B11" t="s" s="164">
        <v>90</v>
      </c>
      <c r="C11" t="s" s="165">
        <v>91</v>
      </c>
      <c r="D11" t="s" s="166">
        <v>137</v>
      </c>
      <c r="E11" s="167" cm="1">
        <f t="array" ref="E11">'📊 Portfolio Brief'!D17</f>
        <v>0.0466910300551417</v>
      </c>
      <c r="F11" s="168" cm="1">
        <f t="array" ref="F11">_xlfn.IFERROR(VLOOKUP(B11,'📥 Price Hub'!$B$5:$H$34,7,0),0)</f>
        <v>859.1</v>
      </c>
      <c r="G11" s="169">
        <v>743.8698000000001</v>
      </c>
      <c r="H11" s="170" cm="1">
        <f t="array" ref="H11">'📊 Portfolio Brief'!J17</f>
        <v>0.154906409696966</v>
      </c>
      <c r="I11" s="171" cm="1">
        <f t="array" ref="I11">'📊 Portfolio Brief'!H17</f>
        <v>472505</v>
      </c>
      <c r="J11" s="172" cm="1">
        <f t="array" ref="J11">'📊 Portfolio Brief'!I17</f>
        <v>63376.61</v>
      </c>
      <c r="K11" s="173">
        <v>550</v>
      </c>
      <c r="L11" s="173">
        <v>425</v>
      </c>
      <c r="M11" t="s" s="174">
        <v>150</v>
      </c>
      <c r="N11" t="s" s="174">
        <v>151</v>
      </c>
    </row>
    <row r="12" ht="18" customHeight="1">
      <c r="A12" s="162"/>
      <c r="B12" t="s" s="164">
        <v>92</v>
      </c>
      <c r="C12" t="s" s="165">
        <v>87</v>
      </c>
      <c r="D12" t="s" s="166">
        <v>137</v>
      </c>
      <c r="E12" s="167" cm="1">
        <f t="array" ref="E12">'📊 Portfolio Brief'!D18</f>
        <v>0.0443634203728127</v>
      </c>
      <c r="F12" s="168" cm="1">
        <f t="array" ref="F12">_xlfn.IFERROR(VLOOKUP(B12,'📥 Price Hub'!$B$5:$H$34,7,0),0)</f>
        <v>299.3</v>
      </c>
      <c r="G12" s="169">
        <v>241.5191</v>
      </c>
      <c r="H12" s="170" cm="1">
        <f t="array" ref="H12">'📊 Portfolio Brief'!J18</f>
        <v>0.23923946387677</v>
      </c>
      <c r="I12" s="171" cm="1">
        <f t="array" ref="I12">'📊 Portfolio Brief'!H18</f>
        <v>448950</v>
      </c>
      <c r="J12" s="172" cm="1">
        <f t="array" ref="J12">'📊 Portfolio Brief'!I18</f>
        <v>86671.350000000006</v>
      </c>
      <c r="K12" s="173">
        <v>1500</v>
      </c>
      <c r="L12" s="173">
        <v>0</v>
      </c>
      <c r="M12" t="s" s="174">
        <v>152</v>
      </c>
      <c r="N12" t="s" s="174">
        <v>153</v>
      </c>
    </row>
    <row r="13" ht="18" customHeight="1">
      <c r="A13" s="162"/>
      <c r="B13" t="s" s="164">
        <v>93</v>
      </c>
      <c r="C13" t="s" s="165">
        <v>83</v>
      </c>
      <c r="D13" t="s" s="166">
        <v>137</v>
      </c>
      <c r="E13" s="167" cm="1">
        <f t="array" ref="E13">'📊 Portfolio Brief'!D19</f>
        <v>0.0423950066656595</v>
      </c>
      <c r="F13" s="168" cm="1">
        <f t="array" ref="F13">_xlfn.IFERROR(VLOOKUP(B13,'📥 Price Hub'!$B$5:$H$34,7,0),0)</f>
        <v>1225.8</v>
      </c>
      <c r="G13" s="169">
        <v>961.5244</v>
      </c>
      <c r="H13" s="170" cm="1">
        <f t="array" ref="H13">'📊 Portfolio Brief'!J19</f>
        <v>0.274850643415809</v>
      </c>
      <c r="I13" s="171" cm="1">
        <f t="array" ref="I13">'📊 Portfolio Brief'!H19</f>
        <v>429030</v>
      </c>
      <c r="J13" s="172" cm="1">
        <f t="array" ref="J13">'📊 Portfolio Brief'!I19</f>
        <v>92496.460000000006</v>
      </c>
      <c r="K13" s="173">
        <v>350</v>
      </c>
      <c r="L13" s="173">
        <v>275</v>
      </c>
      <c r="M13" t="s" s="174">
        <v>154</v>
      </c>
      <c r="N13" t="s" s="174">
        <v>155</v>
      </c>
    </row>
    <row r="14" ht="18" customHeight="1">
      <c r="A14" s="162"/>
      <c r="B14" t="s" s="175">
        <v>94</v>
      </c>
      <c r="C14" t="s" s="176">
        <v>95</v>
      </c>
      <c r="D14" t="s" s="177">
        <v>143</v>
      </c>
      <c r="E14" s="178" cm="1">
        <f t="array" ref="E14">'📊 Portfolio Brief'!D20</f>
        <v>0.0422029084605036</v>
      </c>
      <c r="F14" s="168" cm="1">
        <f t="array" ref="F14">_xlfn.IFERROR(VLOOKUP(B14,'📥 Price Hub'!$B$5:$H$34,7,0),0)</f>
        <v>3882.6</v>
      </c>
      <c r="G14" s="179">
        <v>3614.1977</v>
      </c>
      <c r="H14" s="180" cm="1">
        <f t="array" ref="H14">'📊 Portfolio Brief'!J20</f>
        <v>0.0742633143726476</v>
      </c>
      <c r="I14" s="181" cm="1">
        <f t="array" ref="I14">'📊 Portfolio Brief'!H20</f>
        <v>427086</v>
      </c>
      <c r="J14" s="182" cm="1">
        <f t="array" ref="J14">'📊 Portfolio Brief'!I20</f>
        <v>29524.253</v>
      </c>
      <c r="K14" s="183">
        <v>110</v>
      </c>
      <c r="L14" s="183">
        <v>0</v>
      </c>
      <c r="M14" t="s" s="184">
        <v>156</v>
      </c>
      <c r="N14" t="s" s="184">
        <v>157</v>
      </c>
    </row>
    <row r="15" ht="18" customHeight="1">
      <c r="A15" s="162"/>
      <c r="B15" t="s" s="164">
        <v>96</v>
      </c>
      <c r="C15" t="s" s="165">
        <v>97</v>
      </c>
      <c r="D15" t="s" s="166">
        <v>137</v>
      </c>
      <c r="E15" s="167" cm="1">
        <f t="array" ref="E15">'📊 Portfolio Brief'!D21</f>
        <v>0.0413604036780142</v>
      </c>
      <c r="F15" s="168" cm="1">
        <f t="array" ref="F15">_xlfn.IFERROR(VLOOKUP(B15,'📥 Price Hub'!$B$5:$H$34,7,0),0)</f>
        <v>1744</v>
      </c>
      <c r="G15" s="169">
        <v>1336.4402</v>
      </c>
      <c r="H15" s="170" cm="1">
        <f t="array" ref="H15">'📊 Portfolio Brief'!J21</f>
        <v>0.304959249205464</v>
      </c>
      <c r="I15" s="171" cm="1">
        <f t="array" ref="I15">'📊 Portfolio Brief'!H21</f>
        <v>418560</v>
      </c>
      <c r="J15" s="172" cm="1">
        <f t="array" ref="J15">'📊 Portfolio Brief'!I21</f>
        <v>97814.352</v>
      </c>
      <c r="K15" s="173">
        <v>240</v>
      </c>
      <c r="L15" s="173">
        <v>200</v>
      </c>
      <c r="M15" t="s" s="174">
        <v>158</v>
      </c>
      <c r="N15" t="s" s="174">
        <v>159</v>
      </c>
    </row>
    <row r="16" ht="18" customHeight="1">
      <c r="A16" s="162"/>
      <c r="B16" t="s" s="164">
        <v>98</v>
      </c>
      <c r="C16" t="s" s="165">
        <v>87</v>
      </c>
      <c r="D16" t="s" s="166">
        <v>137</v>
      </c>
      <c r="E16" s="167" cm="1">
        <f t="array" ref="E16">'📊 Portfolio Brief'!D22</f>
        <v>0.0386264134047883</v>
      </c>
      <c r="F16" s="168" cm="1">
        <f t="array" ref="F16">_xlfn.IFERROR(VLOOKUP(B16,'📥 Price Hub'!$B$5:$H$34,7,0),0)</f>
        <v>868.65</v>
      </c>
      <c r="G16" s="169">
        <v>626.6593</v>
      </c>
      <c r="H16" s="170" cm="1">
        <f t="array" ref="H16">'📊 Portfolio Brief'!J22</f>
        <v>0.386159911773431</v>
      </c>
      <c r="I16" s="171" cm="1">
        <f t="array" ref="I16">'📊 Portfolio Brief'!H22</f>
        <v>390892.5</v>
      </c>
      <c r="J16" s="172" cm="1">
        <f t="array" ref="J16">'📊 Portfolio Brief'!I22</f>
        <v>108895.815</v>
      </c>
      <c r="K16" s="173">
        <v>450</v>
      </c>
      <c r="L16" s="173">
        <v>175</v>
      </c>
      <c r="M16" t="s" s="174">
        <v>160</v>
      </c>
      <c r="N16" t="s" s="174">
        <v>161</v>
      </c>
    </row>
    <row r="17" ht="18" customHeight="1">
      <c r="A17" s="162"/>
      <c r="B17" t="s" s="185">
        <v>99</v>
      </c>
      <c r="C17" t="s" s="186">
        <v>100</v>
      </c>
      <c r="D17" t="s" s="187">
        <v>162</v>
      </c>
      <c r="E17" s="188" cm="1">
        <f t="array" ref="E17">'📊 Portfolio Brief'!D23</f>
        <v>0.0368910818177027</v>
      </c>
      <c r="F17" s="168" cm="1">
        <f t="array" ref="F17">_xlfn.IFERROR(VLOOKUP(B17,'📥 Price Hub'!$B$5:$H$34,7,0),0)</f>
        <v>995.55</v>
      </c>
      <c r="G17" s="189">
        <v>1006.4883</v>
      </c>
      <c r="H17" s="190" cm="1">
        <f t="array" ref="H17">'📊 Portfolio Brief'!J23</f>
        <v>-0.0108677865405887</v>
      </c>
      <c r="I17" s="191" cm="1">
        <f t="array" ref="I17">'📊 Portfolio Brief'!H23</f>
        <v>373331.25</v>
      </c>
      <c r="J17" s="192" cm="1">
        <f t="array" ref="J17">'📊 Portfolio Brief'!I23</f>
        <v>-4101.8625</v>
      </c>
      <c r="K17" s="193">
        <v>375</v>
      </c>
      <c r="L17" s="193">
        <v>0</v>
      </c>
      <c r="M17" t="s" s="194">
        <v>163</v>
      </c>
      <c r="N17" t="s" s="194">
        <v>164</v>
      </c>
    </row>
    <row r="18" ht="18" customHeight="1">
      <c r="A18" s="162"/>
      <c r="B18" t="s" s="164">
        <v>101</v>
      </c>
      <c r="C18" t="s" s="165">
        <v>102</v>
      </c>
      <c r="D18" t="s" s="166">
        <v>165</v>
      </c>
      <c r="E18" s="167" cm="1">
        <f t="array" ref="E18">'📊 Portfolio Brief'!D24</f>
        <v>0.0362264210397037</v>
      </c>
      <c r="F18" s="168" cm="1">
        <f t="array" ref="F18">_xlfn.IFERROR(VLOOKUP(B18,'📥 Price Hub'!$B$5:$H$34,7,0),0)</f>
        <v>431.3</v>
      </c>
      <c r="G18" s="169">
        <v>472.3749</v>
      </c>
      <c r="H18" s="170" cm="1">
        <f t="array" ref="H18">'📊 Portfolio Brief'!J24</f>
        <v>-0.08695402740492771</v>
      </c>
      <c r="I18" s="171" cm="1">
        <f t="array" ref="I18">'📊 Portfolio Brief'!H24</f>
        <v>366605</v>
      </c>
      <c r="J18" s="172" cm="1">
        <f t="array" ref="J18">'📊 Portfolio Brief'!I24</f>
        <v>-34913.665</v>
      </c>
      <c r="K18" s="173">
        <v>850</v>
      </c>
      <c r="L18" s="173">
        <v>0</v>
      </c>
      <c r="M18" t="s" s="174">
        <v>166</v>
      </c>
      <c r="N18" t="s" s="195">
        <v>167</v>
      </c>
    </row>
    <row r="19" ht="18" customHeight="1">
      <c r="A19" s="162"/>
      <c r="B19" t="s" s="164">
        <v>103</v>
      </c>
      <c r="C19" t="s" s="165">
        <v>91</v>
      </c>
      <c r="D19" t="s" s="166">
        <v>168</v>
      </c>
      <c r="E19" s="167" cm="1">
        <f t="array" ref="E19">'📊 Portfolio Brief'!D25</f>
        <v>0.0337515755931349</v>
      </c>
      <c r="F19" s="168" cm="1">
        <f t="array" ref="F19">_xlfn.IFERROR(VLOOKUP(B19,'📥 Price Hub'!$B$5:$H$34,7,0),0)</f>
        <v>853.9</v>
      </c>
      <c r="G19" s="169">
        <v>876.6309</v>
      </c>
      <c r="H19" s="170" cm="1">
        <f t="array" ref="H19">'📊 Portfolio Brief'!J25</f>
        <v>-0.0259298411680446</v>
      </c>
      <c r="I19" s="171" cm="1">
        <f t="array" ref="I19">'📊 Portfolio Brief'!H25</f>
        <v>341560</v>
      </c>
      <c r="J19" s="172" cm="1">
        <f t="array" ref="J19">'📊 Portfolio Brief'!I25</f>
        <v>-9092.360000000001</v>
      </c>
      <c r="K19" s="173">
        <v>400</v>
      </c>
      <c r="L19" s="173">
        <v>229</v>
      </c>
      <c r="M19" t="s" s="174">
        <v>169</v>
      </c>
      <c r="N19" t="s" s="174">
        <v>170</v>
      </c>
    </row>
    <row r="20" ht="18" customHeight="1">
      <c r="A20" s="162"/>
      <c r="B20" t="s" s="196">
        <v>104</v>
      </c>
      <c r="C20" t="s" s="197">
        <v>83</v>
      </c>
      <c r="D20" t="s" s="198">
        <v>171</v>
      </c>
      <c r="E20" s="199" cm="1">
        <f t="array" ref="E20">'📊 Portfolio Brief'!D26</f>
        <v>0.0285657145815184</v>
      </c>
      <c r="F20" s="168" cm="1">
        <f t="array" ref="F20">_xlfn.IFERROR(VLOOKUP(B20,'📥 Price Hub'!$B$5:$H$34,7,0),0)</f>
        <v>13.14</v>
      </c>
      <c r="G20" s="200">
        <v>14.0369</v>
      </c>
      <c r="H20" s="201" cm="1">
        <f t="array" ref="H20">'📊 Portfolio Brief'!J26</f>
        <v>-0.0638958744452123</v>
      </c>
      <c r="I20" s="202" cm="1">
        <f t="array" ref="I20">'📊 Portfolio Brief'!H26</f>
        <v>289080</v>
      </c>
      <c r="J20" s="203" cm="1">
        <f t="array" ref="J20">'📊 Portfolio Brief'!I26</f>
        <v>-19731.8</v>
      </c>
      <c r="K20" s="204">
        <v>22000</v>
      </c>
      <c r="L20" s="204">
        <v>0</v>
      </c>
      <c r="M20" t="s" s="205">
        <v>172</v>
      </c>
      <c r="N20" t="s" s="206">
        <v>173</v>
      </c>
    </row>
    <row r="21" ht="18" customHeight="1">
      <c r="A21" s="162"/>
      <c r="B21" t="s" s="164">
        <v>105</v>
      </c>
      <c r="C21" t="s" s="165">
        <v>97</v>
      </c>
      <c r="D21" t="s" s="166">
        <v>137</v>
      </c>
      <c r="E21" s="167" cm="1">
        <f t="array" ref="E21">'📊 Portfolio Brief'!D27</f>
        <v>0.0282074573578596</v>
      </c>
      <c r="F21" s="168" cm="1">
        <f t="array" ref="F21">_xlfn.IFERROR(VLOOKUP(B21,'📥 Price Hub'!$B$5:$H$34,7,0),0)</f>
        <v>1214.7</v>
      </c>
      <c r="G21" s="169">
        <v>1278.1598</v>
      </c>
      <c r="H21" s="170" cm="1">
        <f t="array" ref="H21">'📊 Portfolio Brief'!J27</f>
        <v>-0.0496493474446622</v>
      </c>
      <c r="I21" s="171" cm="1">
        <f t="array" ref="I21">'📊 Portfolio Brief'!H27</f>
        <v>285454.5</v>
      </c>
      <c r="J21" s="172" cm="1">
        <f t="array" ref="J21">'📊 Portfolio Brief'!I27</f>
        <v>-14913.053</v>
      </c>
      <c r="K21" s="173">
        <v>235</v>
      </c>
      <c r="L21" s="173">
        <v>190</v>
      </c>
      <c r="M21" t="s" s="174">
        <v>174</v>
      </c>
      <c r="N21" t="s" s="174">
        <v>175</v>
      </c>
    </row>
    <row r="22" ht="18" customHeight="1">
      <c r="A22" s="162"/>
      <c r="B22" t="s" s="185">
        <v>106</v>
      </c>
      <c r="C22" t="s" s="186">
        <v>107</v>
      </c>
      <c r="D22" t="s" s="187">
        <v>176</v>
      </c>
      <c r="E22" s="188" cm="1">
        <f t="array" ref="E22">'📊 Portfolio Brief'!D28</f>
        <v>0.0280298850972294</v>
      </c>
      <c r="F22" s="168" cm="1">
        <f t="array" ref="F22">_xlfn.IFERROR(VLOOKUP(B22,'📥 Price Hub'!$B$5:$H$34,7,0),0)</f>
        <v>630.35</v>
      </c>
      <c r="G22" s="189">
        <v>706.2689</v>
      </c>
      <c r="H22" s="190" cm="1">
        <f t="array" ref="H22">'📊 Portfolio Brief'!J28</f>
        <v>-0.10749291098617</v>
      </c>
      <c r="I22" s="191" cm="1">
        <f t="array" ref="I22">'📊 Portfolio Brief'!H28</f>
        <v>283657.5</v>
      </c>
      <c r="J22" s="192" cm="1">
        <f t="array" ref="J22">'📊 Portfolio Brief'!I28</f>
        <v>-34163.505</v>
      </c>
      <c r="K22" s="193">
        <v>450</v>
      </c>
      <c r="L22" s="193">
        <v>200</v>
      </c>
      <c r="M22" t="s" s="194">
        <v>177</v>
      </c>
      <c r="N22" t="s" s="194">
        <v>178</v>
      </c>
    </row>
    <row r="23" ht="18" customHeight="1">
      <c r="A23" s="162"/>
      <c r="B23" t="s" s="185">
        <v>108</v>
      </c>
      <c r="C23" t="s" s="186">
        <v>97</v>
      </c>
      <c r="D23" t="s" s="187">
        <v>176</v>
      </c>
      <c r="E23" s="188" cm="1">
        <f t="array" ref="E23">'📊 Portfolio Brief'!D29</f>
        <v>0.0265884074389413</v>
      </c>
      <c r="F23" s="168" cm="1">
        <f t="array" ref="F23">_xlfn.IFERROR(VLOOKUP(B23,'📥 Price Hub'!$B$5:$H$34,7,0),0)</f>
        <v>896.9</v>
      </c>
      <c r="G23" s="189">
        <v>928.2137</v>
      </c>
      <c r="H23" s="190" cm="1">
        <f t="array" ref="H23">'📊 Portfolio Brief'!J29</f>
        <v>-0.0337354426033574</v>
      </c>
      <c r="I23" s="191" cm="1">
        <f t="array" ref="I23">'📊 Portfolio Brief'!H29</f>
        <v>269070</v>
      </c>
      <c r="J23" s="192" cm="1">
        <f t="array" ref="J23">'📊 Portfolio Brief'!I29</f>
        <v>-9394.110000000001</v>
      </c>
      <c r="K23" s="193">
        <v>300</v>
      </c>
      <c r="L23" s="193">
        <v>0</v>
      </c>
      <c r="M23" t="s" s="194">
        <v>179</v>
      </c>
      <c r="N23" t="s" s="194">
        <v>180</v>
      </c>
    </row>
    <row r="24" ht="18" customHeight="1">
      <c r="A24" s="162"/>
      <c r="B24" t="s" s="164">
        <v>109</v>
      </c>
      <c r="C24" t="s" s="165">
        <v>95</v>
      </c>
      <c r="D24" t="s" s="166">
        <v>137</v>
      </c>
      <c r="E24" s="167" cm="1">
        <f t="array" ref="E24">'📊 Portfolio Brief'!D30</f>
        <v>0.025195102555866</v>
      </c>
      <c r="F24" s="168" cm="1">
        <f t="array" ref="F24">_xlfn.IFERROR(VLOOKUP(B24,'📥 Price Hub'!$B$5:$H$34,7,0),0)</f>
        <v>1416.5</v>
      </c>
      <c r="G24" s="169">
        <v>960.1683</v>
      </c>
      <c r="H24" s="170" cm="1">
        <f t="array" ref="H24">'📊 Portfolio Brief'!J30</f>
        <v>0.475262201428645</v>
      </c>
      <c r="I24" s="171" cm="1">
        <f t="array" ref="I24">'📊 Portfolio Brief'!H30</f>
        <v>254970</v>
      </c>
      <c r="J24" s="172" cm="1">
        <f t="array" ref="J24">'📊 Portfolio Brief'!I30</f>
        <v>82139.706000000006</v>
      </c>
      <c r="K24" s="173">
        <v>180</v>
      </c>
      <c r="L24" s="173">
        <v>180</v>
      </c>
      <c r="M24" t="s" s="174">
        <v>181</v>
      </c>
      <c r="N24" t="s" s="174">
        <v>182</v>
      </c>
    </row>
    <row r="25" ht="18" customHeight="1">
      <c r="A25" s="162"/>
      <c r="B25" t="s" s="196">
        <v>110</v>
      </c>
      <c r="C25" t="s" s="197">
        <v>111</v>
      </c>
      <c r="D25" t="s" s="198">
        <v>171</v>
      </c>
      <c r="E25" s="199" cm="1">
        <f t="array" ref="E25">'📊 Portfolio Brief'!D31</f>
        <v>0.0235527814809219</v>
      </c>
      <c r="F25" s="168" cm="1">
        <f t="array" ref="F25">_xlfn.IFERROR(VLOOKUP(B25,'📥 Price Hub'!$B$5:$H$34,7,0),0)</f>
        <v>340.5</v>
      </c>
      <c r="G25" s="200">
        <v>416.1604</v>
      </c>
      <c r="H25" s="201" cm="1">
        <f t="array" ref="H25">'📊 Portfolio Brief'!J31</f>
        <v>-0.181805861393828</v>
      </c>
      <c r="I25" s="202" cm="1">
        <f t="array" ref="I25">'📊 Portfolio Brief'!H31</f>
        <v>238350</v>
      </c>
      <c r="J25" s="203" cm="1">
        <f t="array" ref="J25">'📊 Portfolio Brief'!I31</f>
        <v>-52962.28</v>
      </c>
      <c r="K25" s="204">
        <v>700</v>
      </c>
      <c r="L25" s="204">
        <v>0</v>
      </c>
      <c r="M25" t="s" s="205">
        <v>183</v>
      </c>
      <c r="N25" t="s" s="206">
        <v>184</v>
      </c>
    </row>
    <row r="26" ht="18" customHeight="1">
      <c r="A26" s="162"/>
      <c r="B26" t="s" s="196">
        <v>112</v>
      </c>
      <c r="C26" t="s" s="197">
        <v>113</v>
      </c>
      <c r="D26" t="s" s="198">
        <v>171</v>
      </c>
      <c r="E26" s="199" cm="1">
        <f t="array" ref="E26">'📊 Portfolio Brief'!D32</f>
        <v>0.02050752096786</v>
      </c>
      <c r="F26" s="168" cm="1">
        <f t="array" ref="F26">_xlfn.IFERROR(VLOOKUP(B26,'📥 Price Hub'!$B$5:$H$34,7,0),0)</f>
        <v>118.59</v>
      </c>
      <c r="G26" s="200">
        <v>144.9455</v>
      </c>
      <c r="H26" s="201" cm="1">
        <f t="array" ref="H26">'📊 Portfolio Brief'!J32</f>
        <v>-0.181830412120418</v>
      </c>
      <c r="I26" s="202" cm="1">
        <f t="array" ref="I26">'📊 Portfolio Brief'!H32</f>
        <v>207532.5</v>
      </c>
      <c r="J26" s="203" cm="1">
        <f t="array" ref="J26">'📊 Portfolio Brief'!I32</f>
        <v>-46122.125</v>
      </c>
      <c r="K26" s="204">
        <v>1750</v>
      </c>
      <c r="L26" s="204">
        <v>720</v>
      </c>
      <c r="M26" t="s" s="205">
        <v>185</v>
      </c>
      <c r="N26" t="s" s="206">
        <v>186</v>
      </c>
    </row>
    <row r="27" ht="18" customHeight="1">
      <c r="A27" s="162"/>
      <c r="B27" t="s" s="164">
        <v>114</v>
      </c>
      <c r="C27" t="s" s="165">
        <v>89</v>
      </c>
      <c r="D27" t="s" s="166">
        <v>137</v>
      </c>
      <c r="E27" s="167" cm="1">
        <f t="array" ref="E27">'📊 Portfolio Brief'!D33</f>
        <v>0.0199732972427447</v>
      </c>
      <c r="F27" s="168" cm="1">
        <f t="array" ref="F27">_xlfn.IFERROR(VLOOKUP(B27,'📥 Price Hub'!$B$5:$H$34,7,0),0)</f>
        <v>126.25</v>
      </c>
      <c r="G27" s="169">
        <v>109.5427</v>
      </c>
      <c r="H27" s="170" cm="1">
        <f t="array" ref="H27">'📊 Portfolio Brief'!J33</f>
        <v>0.15251860689941</v>
      </c>
      <c r="I27" s="171" cm="1">
        <f t="array" ref="I27">'📊 Portfolio Brief'!H33</f>
        <v>202126.25</v>
      </c>
      <c r="J27" s="172" cm="1">
        <f t="array" ref="J27">'📊 Portfolio Brief'!I33</f>
        <v>26748.3873</v>
      </c>
      <c r="K27" s="173">
        <v>1601</v>
      </c>
      <c r="L27" s="173">
        <v>1450</v>
      </c>
      <c r="M27" t="s" s="174">
        <v>187</v>
      </c>
      <c r="N27" t="s" s="174">
        <v>188</v>
      </c>
    </row>
    <row r="28" ht="18" customHeight="1">
      <c r="A28" s="162"/>
      <c r="B28" t="s" s="207">
        <v>115</v>
      </c>
      <c r="C28" t="s" s="208">
        <v>111</v>
      </c>
      <c r="D28" t="s" s="209">
        <v>189</v>
      </c>
      <c r="E28" s="210" cm="1">
        <f t="array" ref="E28">'📊 Portfolio Brief'!D34</f>
        <v>0.0186133674464962</v>
      </c>
      <c r="F28" s="168" cm="1">
        <f t="array" ref="F28">_xlfn.IFERROR(VLOOKUP(B28,'📥 Price Hub'!$B$5:$H$34,7,0),0)</f>
        <v>4709.1</v>
      </c>
      <c r="G28" s="211">
        <v>5143.1</v>
      </c>
      <c r="H28" s="212" cm="1">
        <f t="array" ref="H28">'📊 Portfolio Brief'!J34</f>
        <v>-0.08438490404619781</v>
      </c>
      <c r="I28" s="213" cm="1">
        <f t="array" ref="I28">'📊 Portfolio Brief'!H34</f>
        <v>188364</v>
      </c>
      <c r="J28" s="214" cm="1">
        <f t="array" ref="J28">'📊 Portfolio Brief'!I34</f>
        <v>-17360</v>
      </c>
      <c r="K28" s="215">
        <v>40</v>
      </c>
      <c r="L28" s="215">
        <v>0</v>
      </c>
      <c r="M28" t="s" s="216">
        <v>190</v>
      </c>
      <c r="N28" t="s" s="216">
        <v>191</v>
      </c>
    </row>
    <row r="29" ht="18" customHeight="1">
      <c r="A29" s="162"/>
      <c r="B29" t="s" s="175">
        <v>116</v>
      </c>
      <c r="C29" t="s" s="176">
        <v>78</v>
      </c>
      <c r="D29" t="s" s="177">
        <v>192</v>
      </c>
      <c r="E29" s="178" cm="1">
        <f t="array" ref="E29">'📊 Portfolio Brief'!D35</f>
        <v>0.0133895611104045</v>
      </c>
      <c r="F29" s="168" cm="1">
        <f t="array" ref="F29">_xlfn.IFERROR(VLOOKUP(B29,'📥 Price Hub'!$B$5:$H$34,7,0),0)</f>
        <v>27.1</v>
      </c>
      <c r="G29" s="179">
        <v>22.8272</v>
      </c>
      <c r="H29" s="180" cm="1">
        <f t="array" ref="H29">'📊 Portfolio Brief'!J35</f>
        <v>0.187180206069952</v>
      </c>
      <c r="I29" s="181" cm="1">
        <f t="array" ref="I29">'📊 Portfolio Brief'!H35</f>
        <v>135500</v>
      </c>
      <c r="J29" s="182" cm="1">
        <f t="array" ref="J29">'📊 Portfolio Brief'!I35</f>
        <v>21364</v>
      </c>
      <c r="K29" s="183">
        <v>5000</v>
      </c>
      <c r="L29" s="183">
        <v>0</v>
      </c>
      <c r="M29" t="s" s="184">
        <v>193</v>
      </c>
      <c r="N29" t="s" s="184">
        <v>194</v>
      </c>
    </row>
    <row r="30" ht="18" customHeight="1">
      <c r="A30" s="162"/>
      <c r="B30" t="s" s="164">
        <v>117</v>
      </c>
      <c r="C30" t="s" s="165">
        <v>111</v>
      </c>
      <c r="D30" t="s" s="166">
        <v>195</v>
      </c>
      <c r="E30" s="167" cm="1">
        <f t="array" ref="E30">'📊 Portfolio Brief'!D36</f>
        <v>0.0127359924226982</v>
      </c>
      <c r="F30" s="168" cm="1">
        <f t="array" ref="F30">_xlfn.IFERROR(VLOOKUP(B30,'📥 Price Hub'!$B$5:$H$34,7,0),0)</f>
        <v>3222.15</v>
      </c>
      <c r="G30" s="169">
        <v>3310.275</v>
      </c>
      <c r="H30" s="170" cm="1">
        <f t="array" ref="H30">'📊 Portfolio Brief'!J36</f>
        <v>-0.0266216553005415</v>
      </c>
      <c r="I30" s="171" cm="1">
        <f t="array" ref="I30">'📊 Portfolio Brief'!H36</f>
        <v>128886</v>
      </c>
      <c r="J30" s="172" cm="1">
        <f t="array" ref="J30">'📊 Portfolio Brief'!I36</f>
        <v>-3525</v>
      </c>
      <c r="K30" s="173">
        <v>40</v>
      </c>
      <c r="L30" s="173">
        <v>0</v>
      </c>
      <c r="M30" t="s" s="174">
        <v>196</v>
      </c>
      <c r="N30" t="s" s="174">
        <v>197</v>
      </c>
    </row>
    <row r="31" ht="18" customHeight="1">
      <c r="A31" s="162"/>
      <c r="B31" t="s" s="164">
        <v>118</v>
      </c>
      <c r="C31" t="s" s="165">
        <v>119</v>
      </c>
      <c r="D31" t="s" s="166">
        <v>198</v>
      </c>
      <c r="E31" s="167" cm="1">
        <f t="array" ref="E31">'📊 Portfolio Brief'!D37</f>
        <v>0.00971923833464825</v>
      </c>
      <c r="F31" s="168" cm="1">
        <f t="array" ref="F31">_xlfn.IFERROR(VLOOKUP(B31,'📥 Price Hub'!$B$5:$H$34,7,0),0)</f>
        <v>16392.83</v>
      </c>
      <c r="G31" s="169">
        <v>16262.96</v>
      </c>
      <c r="H31" s="170" cm="1">
        <f t="array" ref="H31">'📊 Portfolio Brief'!J37</f>
        <v>0</v>
      </c>
      <c r="I31" s="171" cm="1">
        <f t="array" ref="I31">'📊 Portfolio Brief'!H37</f>
        <v>98356.98</v>
      </c>
      <c r="J31" s="172" cm="1">
        <f t="array" ref="J31">'📊 Portfolio Brief'!I37</f>
        <v>779.22</v>
      </c>
      <c r="K31" s="173">
        <v>6</v>
      </c>
      <c r="L31" s="173">
        <v>0</v>
      </c>
      <c r="M31" t="s" s="174">
        <v>199</v>
      </c>
      <c r="N31" t="s" s="174">
        <v>200</v>
      </c>
    </row>
    <row r="32" ht="18" customHeight="1">
      <c r="A32" s="98"/>
      <c r="B32" s="217"/>
      <c r="C32" s="218"/>
      <c r="D32" s="219"/>
      <c r="E32" s="220"/>
      <c r="F32" s="221"/>
      <c r="G32" s="222"/>
      <c r="H32" s="223"/>
      <c r="I32" s="224"/>
      <c r="J32" s="225"/>
      <c r="K32" s="226"/>
      <c r="L32" s="226"/>
      <c r="M32" s="227"/>
      <c r="N32" s="228"/>
    </row>
    <row r="33" ht="18" customHeight="1">
      <c r="A33" s="98"/>
      <c r="B33" s="229"/>
      <c r="C33" s="230"/>
      <c r="D33" s="231"/>
      <c r="E33" s="232"/>
      <c r="F33" s="233"/>
      <c r="G33" s="234"/>
      <c r="H33" s="235"/>
      <c r="I33" s="236"/>
      <c r="J33" s="237"/>
      <c r="K33" s="238"/>
      <c r="L33" s="238"/>
      <c r="M33" s="239"/>
      <c r="N33" s="240"/>
    </row>
    <row r="34" ht="15" customHeight="1">
      <c r="A34" s="162"/>
      <c r="B34" t="s" s="241">
        <v>121</v>
      </c>
      <c r="C34" s="242"/>
      <c r="D34" s="242"/>
      <c r="E34" s="242"/>
      <c r="F34" s="242"/>
      <c r="G34" s="242"/>
      <c r="H34" s="243" cm="1">
        <f t="array" ref="H34">J34/SUM('📊 Portfolio Brief'!G11:G39)</f>
        <v>0.151287533500259</v>
      </c>
      <c r="I34" s="244" cm="1">
        <f t="array" ref="I34">SUM(I5:I33)</f>
        <v>10119823.86</v>
      </c>
      <c r="J34" s="245" cm="1">
        <f t="array" ref="J34">SUM(J5:J33)</f>
        <v>1329818.2658</v>
      </c>
      <c r="K34" s="242"/>
      <c r="L34" s="242"/>
      <c r="M34" s="242"/>
      <c r="N34" s="242"/>
    </row>
  </sheetData>
  <mergeCells count="2">
    <mergeCell ref="B1:N1"/>
    <mergeCell ref="B2:N2"/>
  </mergeCells>
  <conditionalFormatting sqref="H5:H34 J5:J34">
    <cfRule type="cellIs" dxfId="1" priority="1" operator="lessThan" stopIfTrue="1">
      <formula>0</formula>
    </cfRule>
  </conditionalFormatting>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N40"/>
  <sheetViews>
    <sheetView workbookViewId="0" showGridLines="0" defaultGridColor="1"/>
  </sheetViews>
  <sheetFormatPr defaultColWidth="8.66667" defaultRowHeight="15" customHeight="1" outlineLevelRow="0" outlineLevelCol="0"/>
  <cols>
    <col min="1" max="1" width="2" style="246" customWidth="1"/>
    <col min="2" max="2" width="13" style="246" customWidth="1"/>
    <col min="3" max="3" width="22" style="246" customWidth="1"/>
    <col min="4" max="4" width="7" style="246" customWidth="1"/>
    <col min="5" max="5" width="10" style="246" customWidth="1"/>
    <col min="6" max="6" width="9" style="246" customWidth="1"/>
    <col min="7" max="8" width="13" style="246" customWidth="1"/>
    <col min="9" max="9" width="12" style="246" customWidth="1"/>
    <col min="10" max="10" width="9" style="246" customWidth="1"/>
    <col min="11" max="11" width="8" style="246" customWidth="1"/>
    <col min="12" max="12" width="18" style="246" customWidth="1"/>
    <col min="13" max="13" width="16" style="246" customWidth="1"/>
    <col min="14" max="14" width="58" style="246" customWidth="1"/>
    <col min="15" max="16384" width="8.67188" style="246" customWidth="1"/>
  </cols>
  <sheetData>
    <row r="1" ht="30" customHeight="1">
      <c r="A1" s="2"/>
      <c r="B1" t="s" s="247">
        <v>201</v>
      </c>
      <c r="C1" s="248"/>
      <c r="D1" s="248"/>
      <c r="E1" s="248"/>
      <c r="F1" s="248"/>
      <c r="G1" s="248"/>
      <c r="H1" s="248"/>
      <c r="I1" s="248"/>
      <c r="J1" s="248"/>
      <c r="K1" s="248"/>
      <c r="L1" s="248"/>
      <c r="M1" s="248"/>
      <c r="N1" s="248"/>
    </row>
    <row r="2" ht="13.5" customHeight="1">
      <c r="A2" s="7"/>
      <c r="B2" t="s" s="8">
        <v>202</v>
      </c>
      <c r="C2" s="9"/>
      <c r="D2" s="9"/>
      <c r="E2" s="9"/>
      <c r="F2" s="9"/>
      <c r="G2" s="9"/>
      <c r="H2" s="9"/>
      <c r="I2" s="9"/>
      <c r="J2" s="9"/>
      <c r="K2" s="9"/>
      <c r="L2" s="9"/>
      <c r="M2" s="9"/>
      <c r="N2" s="9"/>
    </row>
    <row r="3" ht="8" customHeight="1">
      <c r="A3" s="12"/>
      <c r="B3" s="13"/>
      <c r="C3" s="13"/>
      <c r="D3" s="13"/>
      <c r="E3" s="13"/>
      <c r="F3" s="13"/>
      <c r="G3" s="13"/>
      <c r="H3" s="13"/>
      <c r="I3" s="13"/>
      <c r="J3" s="13"/>
      <c r="K3" s="13"/>
      <c r="L3" s="13"/>
      <c r="M3" s="13"/>
      <c r="N3" s="249"/>
    </row>
    <row r="4" ht="13.5" customHeight="1">
      <c r="A4" s="12"/>
      <c r="B4" t="s" s="15">
        <v>2</v>
      </c>
      <c r="C4" s="16"/>
      <c r="D4" s="16"/>
      <c r="E4" t="s" s="15">
        <v>3</v>
      </c>
      <c r="F4" s="16"/>
      <c r="G4" s="16"/>
      <c r="H4" t="s" s="15">
        <v>5</v>
      </c>
      <c r="I4" s="16"/>
      <c r="J4" s="16"/>
      <c r="K4" t="s" s="15">
        <v>4</v>
      </c>
      <c r="L4" s="16"/>
      <c r="M4" t="s" s="15">
        <v>203</v>
      </c>
      <c r="N4" s="250"/>
    </row>
    <row r="5" ht="25.5" customHeight="1">
      <c r="A5" s="12"/>
      <c r="B5" s="17" cm="1">
        <f t="array" ref="B5">G40</f>
        <v>8790005.5942</v>
      </c>
      <c r="C5" s="17"/>
      <c r="D5" s="17"/>
      <c r="E5" t="s" s="19">
        <v>204</v>
      </c>
      <c r="F5" s="251"/>
      <c r="G5" s="251"/>
      <c r="H5" s="18" cm="1">
        <f t="array" ref="H5">H40</f>
        <v>10119823.86</v>
      </c>
      <c r="I5" s="18"/>
      <c r="J5" s="18"/>
      <c r="K5" s="252" cm="1">
        <f t="array" ref="K5">I40</f>
        <v>1329818.2658</v>
      </c>
      <c r="L5" s="252"/>
      <c r="M5" s="253" cm="1">
        <f t="array" ref="M5">I40/G40</f>
        <v>0.151287533500259</v>
      </c>
      <c r="N5" s="254"/>
    </row>
    <row r="6" ht="9.75" customHeight="1">
      <c r="A6" s="12"/>
      <c r="B6" s="14"/>
      <c r="C6" s="14"/>
      <c r="D6" s="14"/>
      <c r="E6" s="14"/>
      <c r="F6" s="14"/>
      <c r="G6" s="14"/>
      <c r="H6" s="14"/>
      <c r="I6" s="14"/>
      <c r="J6" s="14"/>
      <c r="K6" s="14"/>
      <c r="L6" s="14"/>
      <c r="M6" s="14"/>
      <c r="N6" s="11"/>
    </row>
    <row r="7" ht="8" customHeight="1">
      <c r="A7" s="12"/>
      <c r="B7" s="14"/>
      <c r="C7" s="14"/>
      <c r="D7" s="14"/>
      <c r="E7" s="14"/>
      <c r="F7" s="14"/>
      <c r="G7" s="14"/>
      <c r="H7" s="14"/>
      <c r="I7" s="14"/>
      <c r="J7" s="14"/>
      <c r="K7" s="14"/>
      <c r="L7" s="14"/>
      <c r="M7" s="14"/>
      <c r="N7" s="11"/>
    </row>
    <row r="8" ht="8" customHeight="1">
      <c r="A8" s="12"/>
      <c r="B8" s="255"/>
      <c r="C8" s="255"/>
      <c r="D8" s="255"/>
      <c r="E8" s="255"/>
      <c r="F8" s="255"/>
      <c r="G8" s="255"/>
      <c r="H8" s="255"/>
      <c r="I8" s="255"/>
      <c r="J8" s="255"/>
      <c r="K8" s="255"/>
      <c r="L8" s="255"/>
      <c r="M8" s="255"/>
      <c r="N8" s="256"/>
    </row>
    <row r="9" ht="19.5" customHeight="1">
      <c r="A9" s="7"/>
      <c r="B9" t="s" s="257">
        <v>205</v>
      </c>
      <c r="C9" s="258"/>
      <c r="D9" s="258"/>
      <c r="E9" s="258"/>
      <c r="F9" s="258"/>
      <c r="G9" s="258"/>
      <c r="H9" s="258"/>
      <c r="I9" s="258"/>
      <c r="J9" s="258"/>
      <c r="K9" s="258"/>
      <c r="L9" s="258"/>
      <c r="M9" s="258"/>
      <c r="N9" s="258"/>
    </row>
    <row r="10" ht="18" customHeight="1">
      <c r="A10" s="7"/>
      <c r="B10" t="s" s="259">
        <v>206</v>
      </c>
      <c r="C10" t="s" s="259">
        <v>207</v>
      </c>
      <c r="D10" t="s" s="259">
        <v>208</v>
      </c>
      <c r="E10" t="s" s="259">
        <v>209</v>
      </c>
      <c r="F10" t="s" s="259">
        <v>210</v>
      </c>
      <c r="G10" t="s" s="259">
        <v>211</v>
      </c>
      <c r="H10" t="s" s="259">
        <v>212</v>
      </c>
      <c r="I10" t="s" s="259">
        <v>213</v>
      </c>
      <c r="J10" t="s" s="259">
        <v>214</v>
      </c>
      <c r="K10" t="s" s="259">
        <v>215</v>
      </c>
      <c r="L10" t="s" s="259">
        <v>216</v>
      </c>
      <c r="M10" t="s" s="259">
        <v>217</v>
      </c>
      <c r="N10" t="s" s="259">
        <v>218</v>
      </c>
    </row>
    <row r="11" ht="42" customHeight="1">
      <c r="A11" s="7"/>
      <c r="B11" t="s" s="260">
        <v>77</v>
      </c>
      <c r="C11" t="s" s="260">
        <v>78</v>
      </c>
      <c r="D11" s="261" cm="1">
        <f t="array" ref="D11">H11/$H$40</f>
        <v>0.109329966144292</v>
      </c>
      <c r="E11" s="262">
        <v>84.4748</v>
      </c>
      <c r="F11" s="263" cm="1">
        <f t="array" ref="F11">_xlfn.IFERROR(VLOOKUP(B11,'📥 Price Hub'!$B$5:$H$34,7,0),0)</f>
        <v>138.3</v>
      </c>
      <c r="G11" s="264">
        <v>675798.4</v>
      </c>
      <c r="H11" s="265" cm="1">
        <f t="array" ref="H11">_xlfn.IFERROR(VLOOKUP(B11,'📥 Price Hub'!$B$5:$D$34,3,0)*F11,0)</f>
        <v>1106400</v>
      </c>
      <c r="I11" s="266" cm="1">
        <f t="array" ref="I11">H11-G11</f>
        <v>430601.6</v>
      </c>
      <c r="J11" s="267" cm="1">
        <f t="array" ref="J11">IF(G11=0,0,H11/G11-1)</f>
        <v>0.637174636696388</v>
      </c>
      <c r="K11" s="264">
        <v>0</v>
      </c>
      <c r="L11" t="s" s="268">
        <v>134</v>
      </c>
      <c r="M11" t="s" s="269">
        <v>219</v>
      </c>
      <c r="N11" t="s" s="270">
        <v>220</v>
      </c>
    </row>
    <row r="12" ht="42" customHeight="1">
      <c r="A12" s="7"/>
      <c r="B12" t="s" s="260">
        <v>80</v>
      </c>
      <c r="C12" t="s" s="260">
        <v>81</v>
      </c>
      <c r="D12" s="261" cm="1">
        <f t="array" ref="D12">H12/$H$40</f>
        <v>0.0700432151592805</v>
      </c>
      <c r="E12" s="262">
        <v>660</v>
      </c>
      <c r="F12" s="263" cm="1">
        <f t="array" ref="F12">_xlfn.IFERROR(VLOOKUP(B12,'📥 Price Hub'!$B$5:$H$34,7,0),0)</f>
        <v>945.1</v>
      </c>
      <c r="G12" s="264">
        <v>495000</v>
      </c>
      <c r="H12" s="265" cm="1">
        <f t="array" ref="H12">_xlfn.IFERROR(VLOOKUP(B12,'📥 Price Hub'!$B$5:$D$34,3,0)*F12,0)</f>
        <v>708825</v>
      </c>
      <c r="I12" s="266" cm="1">
        <f t="array" ref="I12">H12-G12</f>
        <v>213825</v>
      </c>
      <c r="J12" s="267" cm="1">
        <f t="array" ref="J12">IF(G12=0,0,H12/G12-1)</f>
        <v>0.431969696969697</v>
      </c>
      <c r="K12" s="264">
        <v>0</v>
      </c>
      <c r="L12" t="s" s="268">
        <v>137</v>
      </c>
      <c r="M12" t="s" s="270">
        <v>221</v>
      </c>
      <c r="N12" t="s" s="270">
        <v>222</v>
      </c>
    </row>
    <row r="13" ht="42" customHeight="1">
      <c r="A13" s="7"/>
      <c r="B13" t="s" s="260">
        <v>82</v>
      </c>
      <c r="C13" t="s" s="260">
        <v>83</v>
      </c>
      <c r="D13" s="261" cm="1">
        <f t="array" ref="D13">H13/$H$40</f>
        <v>0.0540242584815108</v>
      </c>
      <c r="E13" s="262">
        <v>41.8047</v>
      </c>
      <c r="F13" s="263" cm="1">
        <f t="array" ref="F13">_xlfn.IFERROR(VLOOKUP(B13,'📥 Price Hub'!$B$5:$H$34,7,0),0)</f>
        <v>54.27</v>
      </c>
      <c r="G13" s="264">
        <v>421140.5478</v>
      </c>
      <c r="H13" s="265" cm="1">
        <f t="array" ref="H13">_xlfn.IFERROR(VLOOKUP(B13,'📥 Price Hub'!$B$5:$D$34,3,0)*F13,0)</f>
        <v>546715.98</v>
      </c>
      <c r="I13" s="266" cm="1">
        <f t="array" ref="I13">H13-G13</f>
        <v>125575.4322</v>
      </c>
      <c r="J13" s="267" cm="1">
        <f t="array" ref="J13">IF(G13=0,0,H13/G13-1)</f>
        <v>0.29817939131246</v>
      </c>
      <c r="K13" s="264">
        <v>0</v>
      </c>
      <c r="L13" t="s" s="268">
        <v>140</v>
      </c>
      <c r="M13" t="s" s="271">
        <v>223</v>
      </c>
      <c r="N13" t="s" s="270">
        <v>224</v>
      </c>
    </row>
    <row r="14" ht="42" customHeight="1">
      <c r="A14" s="7"/>
      <c r="B14" t="s" s="260">
        <v>84</v>
      </c>
      <c r="C14" t="s" s="260">
        <v>85</v>
      </c>
      <c r="D14" s="261" cm="1">
        <f t="array" ref="D14">H14/$H$40</f>
        <v>0.0515997123293804</v>
      </c>
      <c r="E14" s="262">
        <v>388.9194</v>
      </c>
      <c r="F14" s="263" cm="1">
        <f t="array" ref="F14">_xlfn.IFERROR(VLOOKUP(B14,'📥 Price Hub'!$B$5:$H$34,7,0),0)</f>
        <v>435.15</v>
      </c>
      <c r="G14" s="264">
        <v>466703.28</v>
      </c>
      <c r="H14" s="265" cm="1">
        <f t="array" ref="H14">_xlfn.IFERROR(VLOOKUP(B14,'📥 Price Hub'!$B$5:$D$34,3,0)*F14,0)</f>
        <v>522180</v>
      </c>
      <c r="I14" s="266" cm="1">
        <f t="array" ref="I14">H14-G14</f>
        <v>55476.72</v>
      </c>
      <c r="J14" s="267" cm="1">
        <f t="array" ref="J14">IF(G14=0,0,H14/G14-1)</f>
        <v>0.118869359563961</v>
      </c>
      <c r="K14" s="264">
        <v>0</v>
      </c>
      <c r="L14" t="s" s="268">
        <v>143</v>
      </c>
      <c r="M14" t="s" s="272">
        <v>225</v>
      </c>
      <c r="N14" t="s" s="270">
        <v>226</v>
      </c>
    </row>
    <row r="15" ht="42" customHeight="1">
      <c r="A15" s="7"/>
      <c r="B15" t="s" s="260">
        <v>86</v>
      </c>
      <c r="C15" t="s" s="260">
        <v>87</v>
      </c>
      <c r="D15" s="261" cm="1">
        <f t="array" ref="D15">H15/$H$40</f>
        <v>0.0505962363657187</v>
      </c>
      <c r="E15" s="262">
        <v>1154.2536</v>
      </c>
      <c r="F15" s="263" cm="1">
        <f t="array" ref="F15">_xlfn.IFERROR(VLOOKUP(B15,'📥 Price Hub'!$B$5:$H$34,7,0),0)</f>
        <v>1365.4</v>
      </c>
      <c r="G15" s="264">
        <v>432845.1</v>
      </c>
      <c r="H15" s="265" cm="1">
        <f t="array" ref="H15">_xlfn.IFERROR(VLOOKUP(B15,'📥 Price Hub'!$B$5:$D$34,3,0)*F15,0)</f>
        <v>512025</v>
      </c>
      <c r="I15" s="266" cm="1">
        <f t="array" ref="I15">H15-G15</f>
        <v>79179.899999999994</v>
      </c>
      <c r="J15" s="267" cm="1">
        <f t="array" ref="J15">IF(G15=0,0,H15/G15-1)</f>
        <v>0.182928950795562</v>
      </c>
      <c r="K15" s="264">
        <v>350</v>
      </c>
      <c r="L15" t="s" s="268">
        <v>137</v>
      </c>
      <c r="M15" t="s" s="270">
        <v>221</v>
      </c>
      <c r="N15" t="s" s="270">
        <v>227</v>
      </c>
    </row>
    <row r="16" ht="42" customHeight="1">
      <c r="A16" s="7"/>
      <c r="B16" t="s" s="260">
        <v>88</v>
      </c>
      <c r="C16" t="s" s="260">
        <v>89</v>
      </c>
      <c r="D16" s="261" cm="1">
        <f t="array" ref="D16">H16/$H$40</f>
        <v>0.0468200243951677</v>
      </c>
      <c r="E16" s="262">
        <v>934.6512</v>
      </c>
      <c r="F16" s="263" cm="1">
        <f t="array" ref="F16">_xlfn.IFERROR(VLOOKUP(B16,'📥 Price Hub'!$B$5:$H$34,7,0),0)</f>
        <v>1074.4</v>
      </c>
      <c r="G16" s="264">
        <v>412181.1792</v>
      </c>
      <c r="H16" s="265" cm="1">
        <f t="array" ref="H16">_xlfn.IFERROR(VLOOKUP(B16,'📥 Price Hub'!$B$5:$D$34,3,0)*F16,0)</f>
        <v>473810.4</v>
      </c>
      <c r="I16" s="266" cm="1">
        <f t="array" ref="I16">H16-G16</f>
        <v>61629.2208</v>
      </c>
      <c r="J16" s="267" cm="1">
        <f t="array" ref="J16">IF(G16=0,0,H16/G16-1)</f>
        <v>0.149519735276647</v>
      </c>
      <c r="K16" s="264">
        <v>441</v>
      </c>
      <c r="L16" t="s" s="268">
        <v>137</v>
      </c>
      <c r="M16" t="s" s="270">
        <v>221</v>
      </c>
      <c r="N16" t="s" s="270">
        <v>228</v>
      </c>
    </row>
    <row r="17" ht="42" customHeight="1">
      <c r="A17" s="7"/>
      <c r="B17" t="s" s="260">
        <v>90</v>
      </c>
      <c r="C17" t="s" s="260">
        <v>91</v>
      </c>
      <c r="D17" s="261" cm="1">
        <f t="array" ref="D17">H17/$H$40</f>
        <v>0.0466910300551417</v>
      </c>
      <c r="E17" s="262">
        <v>743.8698000000001</v>
      </c>
      <c r="F17" s="263" cm="1">
        <f t="array" ref="F17">_xlfn.IFERROR(VLOOKUP(B17,'📥 Price Hub'!$B$5:$H$34,7,0),0)</f>
        <v>859.1</v>
      </c>
      <c r="G17" s="264">
        <v>409128.39</v>
      </c>
      <c r="H17" s="265" cm="1">
        <f t="array" ref="H17">_xlfn.IFERROR(VLOOKUP(B17,'📥 Price Hub'!$B$5:$D$34,3,0)*F17,0)</f>
        <v>472505</v>
      </c>
      <c r="I17" s="266" cm="1">
        <f t="array" ref="I17">H17-G17</f>
        <v>63376.61</v>
      </c>
      <c r="J17" s="267" cm="1">
        <f t="array" ref="J17">IF(G17=0,0,H17/G17-1)</f>
        <v>0.154906409696966</v>
      </c>
      <c r="K17" s="264">
        <v>425</v>
      </c>
      <c r="L17" t="s" s="268">
        <v>137</v>
      </c>
      <c r="M17" t="s" s="270">
        <v>221</v>
      </c>
      <c r="N17" t="s" s="270">
        <v>229</v>
      </c>
    </row>
    <row r="18" ht="42" customHeight="1">
      <c r="A18" s="7"/>
      <c r="B18" t="s" s="260">
        <v>92</v>
      </c>
      <c r="C18" t="s" s="260">
        <v>87</v>
      </c>
      <c r="D18" s="261" cm="1">
        <f t="array" ref="D18">H18/$H$40</f>
        <v>0.0443634203728127</v>
      </c>
      <c r="E18" s="262">
        <v>241.5191</v>
      </c>
      <c r="F18" s="263" cm="1">
        <f t="array" ref="F18">_xlfn.IFERROR(VLOOKUP(B18,'📥 Price Hub'!$B$5:$H$34,7,0),0)</f>
        <v>299.3</v>
      </c>
      <c r="G18" s="264">
        <v>362278.65</v>
      </c>
      <c r="H18" s="265" cm="1">
        <f t="array" ref="H18">_xlfn.IFERROR(VLOOKUP(B18,'📥 Price Hub'!$B$5:$D$34,3,0)*F18,0)</f>
        <v>448950</v>
      </c>
      <c r="I18" s="266" cm="1">
        <f t="array" ref="I18">H18-G18</f>
        <v>86671.350000000006</v>
      </c>
      <c r="J18" s="267" cm="1">
        <f t="array" ref="J18">IF(G18=0,0,H18/G18-1)</f>
        <v>0.23923946387677</v>
      </c>
      <c r="K18" s="264">
        <v>0</v>
      </c>
      <c r="L18" t="s" s="268">
        <v>137</v>
      </c>
      <c r="M18" t="s" s="270">
        <v>221</v>
      </c>
      <c r="N18" t="s" s="270">
        <v>230</v>
      </c>
    </row>
    <row r="19" ht="42" customHeight="1">
      <c r="A19" s="7"/>
      <c r="B19" t="s" s="260">
        <v>93</v>
      </c>
      <c r="C19" t="s" s="260">
        <v>83</v>
      </c>
      <c r="D19" s="261" cm="1">
        <f t="array" ref="D19">H19/$H$40</f>
        <v>0.0423950066656595</v>
      </c>
      <c r="E19" s="262">
        <v>961.5244</v>
      </c>
      <c r="F19" s="263" cm="1">
        <f t="array" ref="F19">_xlfn.IFERROR(VLOOKUP(B19,'📥 Price Hub'!$B$5:$H$34,7,0),0)</f>
        <v>1225.8</v>
      </c>
      <c r="G19" s="264">
        <v>336533.54</v>
      </c>
      <c r="H19" s="265" cm="1">
        <f t="array" ref="H19">_xlfn.IFERROR(VLOOKUP(B19,'📥 Price Hub'!$B$5:$D$34,3,0)*F19,0)</f>
        <v>429030</v>
      </c>
      <c r="I19" s="266" cm="1">
        <f t="array" ref="I19">H19-G19</f>
        <v>92496.460000000006</v>
      </c>
      <c r="J19" s="267" cm="1">
        <f t="array" ref="J19">IF(G19=0,0,H19/G19-1)</f>
        <v>0.274850643415809</v>
      </c>
      <c r="K19" s="264">
        <v>275</v>
      </c>
      <c r="L19" t="s" s="268">
        <v>137</v>
      </c>
      <c r="M19" t="s" s="270">
        <v>221</v>
      </c>
      <c r="N19" t="s" s="270">
        <v>231</v>
      </c>
    </row>
    <row r="20" ht="42" customHeight="1">
      <c r="A20" s="7"/>
      <c r="B20" t="s" s="260">
        <v>94</v>
      </c>
      <c r="C20" t="s" s="260">
        <v>95</v>
      </c>
      <c r="D20" s="261" cm="1">
        <f t="array" ref="D20">H20/$H$40</f>
        <v>0.0422029084605036</v>
      </c>
      <c r="E20" s="262">
        <v>3614.1977</v>
      </c>
      <c r="F20" s="263" cm="1">
        <f t="array" ref="F20">_xlfn.IFERROR(VLOOKUP(B20,'📥 Price Hub'!$B$5:$H$34,7,0),0)</f>
        <v>3882.6</v>
      </c>
      <c r="G20" s="264">
        <v>397561.747</v>
      </c>
      <c r="H20" s="265" cm="1">
        <f t="array" ref="H20">_xlfn.IFERROR(VLOOKUP(B20,'📥 Price Hub'!$B$5:$D$34,3,0)*F20,0)</f>
        <v>427086</v>
      </c>
      <c r="I20" s="266" cm="1">
        <f t="array" ref="I20">H20-G20</f>
        <v>29524.253</v>
      </c>
      <c r="J20" s="267" cm="1">
        <f t="array" ref="J20">IF(G20=0,0,H20/G20-1)</f>
        <v>0.0742633143726476</v>
      </c>
      <c r="K20" s="264">
        <v>0</v>
      </c>
      <c r="L20" t="s" s="268">
        <v>143</v>
      </c>
      <c r="M20" t="s" s="272">
        <v>225</v>
      </c>
      <c r="N20" t="s" s="270">
        <v>232</v>
      </c>
    </row>
    <row r="21" ht="42" customHeight="1">
      <c r="A21" s="7"/>
      <c r="B21" t="s" s="260">
        <v>96</v>
      </c>
      <c r="C21" t="s" s="260">
        <v>97</v>
      </c>
      <c r="D21" s="261" cm="1">
        <f t="array" ref="D21">H21/$H$40</f>
        <v>0.0413604036780142</v>
      </c>
      <c r="E21" s="262">
        <v>1336.4402</v>
      </c>
      <c r="F21" s="263" cm="1">
        <f t="array" ref="F21">_xlfn.IFERROR(VLOOKUP(B21,'📥 Price Hub'!$B$5:$H$34,7,0),0)</f>
        <v>1744</v>
      </c>
      <c r="G21" s="264">
        <v>320745.648</v>
      </c>
      <c r="H21" s="265" cm="1">
        <f t="array" ref="H21">_xlfn.IFERROR(VLOOKUP(B21,'📥 Price Hub'!$B$5:$D$34,3,0)*F21,0)</f>
        <v>418560</v>
      </c>
      <c r="I21" s="266" cm="1">
        <f t="array" ref="I21">H21-G21</f>
        <v>97814.352</v>
      </c>
      <c r="J21" s="267" cm="1">
        <f t="array" ref="J21">IF(G21=0,0,H21/G21-1)</f>
        <v>0.304959249205464</v>
      </c>
      <c r="K21" s="264">
        <v>200</v>
      </c>
      <c r="L21" t="s" s="268">
        <v>137</v>
      </c>
      <c r="M21" t="s" s="270">
        <v>219</v>
      </c>
      <c r="N21" t="s" s="270">
        <v>233</v>
      </c>
    </row>
    <row r="22" ht="42" customHeight="1">
      <c r="A22" s="7"/>
      <c r="B22" t="s" s="260">
        <v>98</v>
      </c>
      <c r="C22" t="s" s="260">
        <v>87</v>
      </c>
      <c r="D22" s="261" cm="1">
        <f t="array" ref="D22">H22/$H$40</f>
        <v>0.0386264134047883</v>
      </c>
      <c r="E22" s="262">
        <v>626.6593</v>
      </c>
      <c r="F22" s="263" cm="1">
        <f t="array" ref="F22">_xlfn.IFERROR(VLOOKUP(B22,'📥 Price Hub'!$B$5:$H$34,7,0),0)</f>
        <v>868.65</v>
      </c>
      <c r="G22" s="264">
        <v>281996.685</v>
      </c>
      <c r="H22" s="265" cm="1">
        <f t="array" ref="H22">_xlfn.IFERROR(VLOOKUP(B22,'📥 Price Hub'!$B$5:$D$34,3,0)*F22,0)</f>
        <v>390892.5</v>
      </c>
      <c r="I22" s="266" cm="1">
        <f t="array" ref="I22">H22-G22</f>
        <v>108895.815</v>
      </c>
      <c r="J22" s="267" cm="1">
        <f t="array" ref="J22">IF(G22=0,0,H22/G22-1)</f>
        <v>0.386159911773431</v>
      </c>
      <c r="K22" s="264">
        <v>175</v>
      </c>
      <c r="L22" t="s" s="268">
        <v>137</v>
      </c>
      <c r="M22" t="s" s="270">
        <v>221</v>
      </c>
      <c r="N22" t="s" s="270">
        <v>234</v>
      </c>
    </row>
    <row r="23" ht="42" customHeight="1">
      <c r="A23" s="7"/>
      <c r="B23" t="s" s="260">
        <v>99</v>
      </c>
      <c r="C23" t="s" s="260">
        <v>100</v>
      </c>
      <c r="D23" s="261" cm="1">
        <f t="array" ref="D23">H23/$H$40</f>
        <v>0.0368910818177027</v>
      </c>
      <c r="E23" s="262">
        <v>1006.4883</v>
      </c>
      <c r="F23" s="263" cm="1">
        <f t="array" ref="F23">_xlfn.IFERROR(VLOOKUP(B23,'📥 Price Hub'!$B$5:$H$34,7,0),0)</f>
        <v>995.55</v>
      </c>
      <c r="G23" s="264">
        <v>377433.1125</v>
      </c>
      <c r="H23" s="265" cm="1">
        <f t="array" ref="H23">_xlfn.IFERROR(VLOOKUP(B23,'📥 Price Hub'!$B$5:$D$34,3,0)*F23,0)</f>
        <v>373331.25</v>
      </c>
      <c r="I23" s="266" cm="1">
        <f t="array" ref="I23">H23-G23</f>
        <v>-4101.8625</v>
      </c>
      <c r="J23" s="267" cm="1">
        <f t="array" ref="J23">IF(G23=0,0,H23/G23-1)</f>
        <v>-0.0108677865405887</v>
      </c>
      <c r="K23" s="264">
        <v>0</v>
      </c>
      <c r="L23" t="s" s="268">
        <v>162</v>
      </c>
      <c r="M23" t="s" s="272">
        <v>235</v>
      </c>
      <c r="N23" t="s" s="270">
        <v>236</v>
      </c>
    </row>
    <row r="24" ht="42" customHeight="1">
      <c r="A24" s="7"/>
      <c r="B24" t="s" s="260">
        <v>101</v>
      </c>
      <c r="C24" t="s" s="260">
        <v>102</v>
      </c>
      <c r="D24" s="261" cm="1">
        <f t="array" ref="D24">H24/$H$40</f>
        <v>0.0362264210397037</v>
      </c>
      <c r="E24" s="262">
        <v>472.3749</v>
      </c>
      <c r="F24" s="263" cm="1">
        <f t="array" ref="F24">_xlfn.IFERROR(VLOOKUP(B24,'📥 Price Hub'!$B$5:$H$34,7,0),0)</f>
        <v>431.3</v>
      </c>
      <c r="G24" s="264">
        <v>401518.665</v>
      </c>
      <c r="H24" s="265" cm="1">
        <f t="array" ref="H24">_xlfn.IFERROR(VLOOKUP(B24,'📥 Price Hub'!$B$5:$D$34,3,0)*F24,0)</f>
        <v>366605</v>
      </c>
      <c r="I24" s="266" cm="1">
        <f t="array" ref="I24">H24-G24</f>
        <v>-34913.665</v>
      </c>
      <c r="J24" s="267" cm="1">
        <f t="array" ref="J24">IF(G24=0,0,H24/G24-1)</f>
        <v>-0.08695402740492771</v>
      </c>
      <c r="K24" s="264">
        <v>0</v>
      </c>
      <c r="L24" t="s" s="268">
        <v>165</v>
      </c>
      <c r="M24" t="s" s="271">
        <v>237</v>
      </c>
      <c r="N24" t="s" s="270">
        <v>238</v>
      </c>
    </row>
    <row r="25" ht="42" customHeight="1">
      <c r="A25" s="7"/>
      <c r="B25" t="s" s="260">
        <v>103</v>
      </c>
      <c r="C25" t="s" s="260">
        <v>91</v>
      </c>
      <c r="D25" s="261" cm="1">
        <f t="array" ref="D25">H25/$H$40</f>
        <v>0.0337515755931349</v>
      </c>
      <c r="E25" s="262">
        <v>876.6309</v>
      </c>
      <c r="F25" s="263" cm="1">
        <f t="array" ref="F25">_xlfn.IFERROR(VLOOKUP(B25,'📥 Price Hub'!$B$5:$H$34,7,0),0)</f>
        <v>853.9</v>
      </c>
      <c r="G25" s="264">
        <v>350652.36</v>
      </c>
      <c r="H25" s="265" cm="1">
        <f t="array" ref="H25">_xlfn.IFERROR(VLOOKUP(B25,'📥 Price Hub'!$B$5:$D$34,3,0)*F25,0)</f>
        <v>341560</v>
      </c>
      <c r="I25" s="266" cm="1">
        <f t="array" ref="I25">H25-G25</f>
        <v>-9092.360000000001</v>
      </c>
      <c r="J25" s="267" cm="1">
        <f t="array" ref="J25">IF(G25=0,0,H25/G25-1)</f>
        <v>-0.0259298411680446</v>
      </c>
      <c r="K25" s="264">
        <v>229</v>
      </c>
      <c r="L25" t="s" s="268">
        <v>168</v>
      </c>
      <c r="M25" t="s" s="271">
        <v>239</v>
      </c>
      <c r="N25" t="s" s="270">
        <v>240</v>
      </c>
    </row>
    <row r="26" ht="42" customHeight="1">
      <c r="A26" s="7"/>
      <c r="B26" t="s" s="260">
        <v>104</v>
      </c>
      <c r="C26" t="s" s="260">
        <v>83</v>
      </c>
      <c r="D26" s="261" cm="1">
        <f t="array" ref="D26">H26/$H$40</f>
        <v>0.0285657145815184</v>
      </c>
      <c r="E26" s="262">
        <v>14.0369</v>
      </c>
      <c r="F26" s="263" cm="1">
        <f t="array" ref="F26">_xlfn.IFERROR(VLOOKUP(B26,'📥 Price Hub'!$B$5:$H$34,7,0),0)</f>
        <v>13.14</v>
      </c>
      <c r="G26" s="264">
        <v>308811.8</v>
      </c>
      <c r="H26" s="265" cm="1">
        <f t="array" ref="H26">_xlfn.IFERROR(VLOOKUP(B26,'📥 Price Hub'!$B$5:$D$34,3,0)*F26,0)</f>
        <v>289080</v>
      </c>
      <c r="I26" s="266" cm="1">
        <f t="array" ref="I26">H26-G26</f>
        <v>-19731.8</v>
      </c>
      <c r="J26" s="267" cm="1">
        <f t="array" ref="J26">IF(G26=0,0,H26/G26-1)</f>
        <v>-0.0638958744452123</v>
      </c>
      <c r="K26" s="264">
        <v>0</v>
      </c>
      <c r="L26" t="s" s="268">
        <v>171</v>
      </c>
      <c r="M26" t="s" s="273">
        <v>241</v>
      </c>
      <c r="N26" t="s" s="270">
        <v>242</v>
      </c>
    </row>
    <row r="27" ht="42" customHeight="1">
      <c r="A27" s="7"/>
      <c r="B27" t="s" s="260">
        <v>105</v>
      </c>
      <c r="C27" t="s" s="260">
        <v>97</v>
      </c>
      <c r="D27" s="261" cm="1">
        <f t="array" ref="D27">H27/$H$40</f>
        <v>0.0282074573578596</v>
      </c>
      <c r="E27" s="262">
        <v>1278.1598</v>
      </c>
      <c r="F27" s="263" cm="1">
        <f t="array" ref="F27">_xlfn.IFERROR(VLOOKUP(B27,'📥 Price Hub'!$B$5:$H$34,7,0),0)</f>
        <v>1214.7</v>
      </c>
      <c r="G27" s="264">
        <v>300367.553</v>
      </c>
      <c r="H27" s="265" cm="1">
        <f t="array" ref="H27">_xlfn.IFERROR(VLOOKUP(B27,'📥 Price Hub'!$B$5:$D$34,3,0)*F27,0)</f>
        <v>285454.5</v>
      </c>
      <c r="I27" s="266" cm="1">
        <f t="array" ref="I27">H27-G27</f>
        <v>-14913.053</v>
      </c>
      <c r="J27" s="267" cm="1">
        <f t="array" ref="J27">IF(G27=0,0,H27/G27-1)</f>
        <v>-0.0496493474446622</v>
      </c>
      <c r="K27" s="264">
        <v>190</v>
      </c>
      <c r="L27" t="s" s="268">
        <v>137</v>
      </c>
      <c r="M27" t="s" s="270">
        <v>221</v>
      </c>
      <c r="N27" t="s" s="270">
        <v>243</v>
      </c>
    </row>
    <row r="28" ht="42" customHeight="1">
      <c r="A28" s="7"/>
      <c r="B28" t="s" s="260">
        <v>106</v>
      </c>
      <c r="C28" t="s" s="260">
        <v>107</v>
      </c>
      <c r="D28" s="261" cm="1">
        <f t="array" ref="D28">H28/$H$40</f>
        <v>0.0280298850972294</v>
      </c>
      <c r="E28" s="262">
        <v>706.2689</v>
      </c>
      <c r="F28" s="263" cm="1">
        <f t="array" ref="F28">_xlfn.IFERROR(VLOOKUP(B28,'📥 Price Hub'!$B$5:$H$34,7,0),0)</f>
        <v>630.35</v>
      </c>
      <c r="G28" s="264">
        <v>317821.005</v>
      </c>
      <c r="H28" s="265" cm="1">
        <f t="array" ref="H28">_xlfn.IFERROR(VLOOKUP(B28,'📥 Price Hub'!$B$5:$D$34,3,0)*F28,0)</f>
        <v>283657.5</v>
      </c>
      <c r="I28" s="266" cm="1">
        <f t="array" ref="I28">H28-G28</f>
        <v>-34163.505</v>
      </c>
      <c r="J28" s="267" cm="1">
        <f t="array" ref="J28">IF(G28=0,0,H28/G28-1)</f>
        <v>-0.10749291098617</v>
      </c>
      <c r="K28" s="264">
        <v>200</v>
      </c>
      <c r="L28" t="s" s="268">
        <v>176</v>
      </c>
      <c r="M28" t="s" s="271">
        <v>223</v>
      </c>
      <c r="N28" t="s" s="270">
        <v>244</v>
      </c>
    </row>
    <row r="29" ht="42" customHeight="1">
      <c r="A29" s="7"/>
      <c r="B29" t="s" s="260">
        <v>108</v>
      </c>
      <c r="C29" t="s" s="260">
        <v>97</v>
      </c>
      <c r="D29" s="261" cm="1">
        <f t="array" ref="D29">H29/$H$40</f>
        <v>0.0265884074389413</v>
      </c>
      <c r="E29" s="262">
        <v>928.2137</v>
      </c>
      <c r="F29" s="263" cm="1">
        <f t="array" ref="F29">_xlfn.IFERROR(VLOOKUP(B29,'📥 Price Hub'!$B$5:$H$34,7,0),0)</f>
        <v>896.9</v>
      </c>
      <c r="G29" s="264">
        <v>278464.11</v>
      </c>
      <c r="H29" s="265" cm="1">
        <f t="array" ref="H29">_xlfn.IFERROR(VLOOKUP(B29,'📥 Price Hub'!$B$5:$D$34,3,0)*F29,0)</f>
        <v>269070</v>
      </c>
      <c r="I29" s="266" cm="1">
        <f t="array" ref="I29">H29-G29</f>
        <v>-9394.110000000001</v>
      </c>
      <c r="J29" s="267" cm="1">
        <f t="array" ref="J29">IF(G29=0,0,H29/G29-1)</f>
        <v>-0.0337354426033574</v>
      </c>
      <c r="K29" s="264">
        <v>0</v>
      </c>
      <c r="L29" t="s" s="268">
        <v>176</v>
      </c>
      <c r="M29" t="s" s="271">
        <v>223</v>
      </c>
      <c r="N29" t="s" s="270">
        <v>245</v>
      </c>
    </row>
    <row r="30" ht="42" customHeight="1">
      <c r="A30" s="7"/>
      <c r="B30" t="s" s="260">
        <v>109</v>
      </c>
      <c r="C30" t="s" s="260">
        <v>95</v>
      </c>
      <c r="D30" s="261" cm="1">
        <f t="array" ref="D30">H30/$H$40</f>
        <v>0.025195102555866</v>
      </c>
      <c r="E30" s="262">
        <v>960.1683</v>
      </c>
      <c r="F30" s="263" cm="1">
        <f t="array" ref="F30">_xlfn.IFERROR(VLOOKUP(B30,'📥 Price Hub'!$B$5:$H$34,7,0),0)</f>
        <v>1416.5</v>
      </c>
      <c r="G30" s="264">
        <v>172830.294</v>
      </c>
      <c r="H30" s="265" cm="1">
        <f t="array" ref="H30">_xlfn.IFERROR(VLOOKUP(B30,'📥 Price Hub'!$B$5:$D$34,3,0)*F30,0)</f>
        <v>254970</v>
      </c>
      <c r="I30" s="266" cm="1">
        <f t="array" ref="I30">H30-G30</f>
        <v>82139.706000000006</v>
      </c>
      <c r="J30" s="267" cm="1">
        <f t="array" ref="J30">IF(G30=0,0,H30/G30-1)</f>
        <v>0.475262201428645</v>
      </c>
      <c r="K30" s="264">
        <v>180</v>
      </c>
      <c r="L30" t="s" s="268">
        <v>137</v>
      </c>
      <c r="M30" t="s" s="270">
        <v>219</v>
      </c>
      <c r="N30" t="s" s="270">
        <v>246</v>
      </c>
    </row>
    <row r="31" ht="42" customHeight="1">
      <c r="A31" s="7"/>
      <c r="B31" t="s" s="260">
        <v>110</v>
      </c>
      <c r="C31" t="s" s="260">
        <v>111</v>
      </c>
      <c r="D31" s="261" cm="1">
        <f t="array" ref="D31">H31/$H$40</f>
        <v>0.0235527814809219</v>
      </c>
      <c r="E31" s="262">
        <v>416.1604</v>
      </c>
      <c r="F31" s="263" cm="1">
        <f t="array" ref="F31">_xlfn.IFERROR(VLOOKUP(B31,'📥 Price Hub'!$B$5:$H$34,7,0),0)</f>
        <v>340.5</v>
      </c>
      <c r="G31" s="264">
        <v>291312.28</v>
      </c>
      <c r="H31" s="265" cm="1">
        <f t="array" ref="H31">_xlfn.IFERROR(VLOOKUP(B31,'📥 Price Hub'!$B$5:$D$34,3,0)*F31,0)</f>
        <v>238350</v>
      </c>
      <c r="I31" s="266" cm="1">
        <f t="array" ref="I31">H31-G31</f>
        <v>-52962.28</v>
      </c>
      <c r="J31" s="267" cm="1">
        <f t="array" ref="J31">IF(G31=0,0,H31/G31-1)</f>
        <v>-0.181805861393828</v>
      </c>
      <c r="K31" s="264">
        <v>0</v>
      </c>
      <c r="L31" t="s" s="268">
        <v>171</v>
      </c>
      <c r="M31" t="s" s="273">
        <v>241</v>
      </c>
      <c r="N31" t="s" s="270">
        <v>247</v>
      </c>
    </row>
    <row r="32" ht="42" customHeight="1">
      <c r="A32" s="7"/>
      <c r="B32" t="s" s="260">
        <v>112</v>
      </c>
      <c r="C32" t="s" s="260">
        <v>113</v>
      </c>
      <c r="D32" s="261" cm="1">
        <f t="array" ref="D32">H32/$H$40</f>
        <v>0.02050752096786</v>
      </c>
      <c r="E32" s="262">
        <v>144.9455</v>
      </c>
      <c r="F32" s="263" cm="1">
        <f t="array" ref="F32">_xlfn.IFERROR(VLOOKUP(B32,'📥 Price Hub'!$B$5:$H$34,7,0),0)</f>
        <v>118.59</v>
      </c>
      <c r="G32" s="264">
        <v>253654.625</v>
      </c>
      <c r="H32" s="265" cm="1">
        <f t="array" ref="H32">_xlfn.IFERROR(VLOOKUP(B32,'📥 Price Hub'!$B$5:$D$34,3,0)*F32,0)</f>
        <v>207532.5</v>
      </c>
      <c r="I32" s="266" cm="1">
        <f t="array" ref="I32">H32-G32</f>
        <v>-46122.125</v>
      </c>
      <c r="J32" s="267" cm="1">
        <f t="array" ref="J32">IF(G32=0,0,H32/G32-1)</f>
        <v>-0.181830412120418</v>
      </c>
      <c r="K32" s="264">
        <v>720</v>
      </c>
      <c r="L32" t="s" s="274">
        <v>171</v>
      </c>
      <c r="M32" t="s" s="275">
        <v>248</v>
      </c>
      <c r="N32" t="s" s="270">
        <v>249</v>
      </c>
    </row>
    <row r="33" ht="42" customHeight="1">
      <c r="A33" s="7"/>
      <c r="B33" t="s" s="260">
        <v>114</v>
      </c>
      <c r="C33" t="s" s="260">
        <v>89</v>
      </c>
      <c r="D33" s="261" cm="1">
        <f t="array" ref="D33">H33/$H$40</f>
        <v>0.0199732972427447</v>
      </c>
      <c r="E33" s="262">
        <v>109.5427</v>
      </c>
      <c r="F33" s="263" cm="1">
        <f t="array" ref="F33">_xlfn.IFERROR(VLOOKUP(B33,'📥 Price Hub'!$B$5:$H$34,7,0),0)</f>
        <v>126.25</v>
      </c>
      <c r="G33" s="264">
        <v>175377.8627</v>
      </c>
      <c r="H33" s="265" cm="1">
        <f t="array" ref="H33">_xlfn.IFERROR(VLOOKUP(B33,'📥 Price Hub'!$B$5:$D$34,3,0)*F33,0)</f>
        <v>202126.25</v>
      </c>
      <c r="I33" s="266" cm="1">
        <f t="array" ref="I33">H33-G33</f>
        <v>26748.3873</v>
      </c>
      <c r="J33" s="267" cm="1">
        <f t="array" ref="J33">IF(G33=0,0,H33/G33-1)</f>
        <v>0.15251860689941</v>
      </c>
      <c r="K33" s="264">
        <v>1450</v>
      </c>
      <c r="L33" t="s" s="268">
        <v>137</v>
      </c>
      <c r="M33" t="s" s="270">
        <v>221</v>
      </c>
      <c r="N33" t="s" s="270">
        <v>250</v>
      </c>
    </row>
    <row r="34" ht="42" customHeight="1">
      <c r="A34" s="7"/>
      <c r="B34" t="s" s="260">
        <v>115</v>
      </c>
      <c r="C34" t="s" s="260">
        <v>111</v>
      </c>
      <c r="D34" s="261" cm="1">
        <f t="array" ref="D34">H34/$H$40</f>
        <v>0.0186133674464962</v>
      </c>
      <c r="E34" s="262">
        <v>5143.1</v>
      </c>
      <c r="F34" s="263" cm="1">
        <f t="array" ref="F34">_xlfn.IFERROR(VLOOKUP(B34,'📥 Price Hub'!$B$5:$H$34,7,0),0)</f>
        <v>4709.1</v>
      </c>
      <c r="G34" s="264">
        <v>205724</v>
      </c>
      <c r="H34" s="265" cm="1">
        <f t="array" ref="H34">_xlfn.IFERROR(VLOOKUP(B34,'📥 Price Hub'!$B$5:$D$34,3,0)*F34,0)</f>
        <v>188364</v>
      </c>
      <c r="I34" s="266" cm="1">
        <f t="array" ref="I34">H34-G34</f>
        <v>-17360</v>
      </c>
      <c r="J34" s="267" cm="1">
        <f t="array" ref="J34">IF(G34=0,0,H34/G34-1)</f>
        <v>-0.08438490404619781</v>
      </c>
      <c r="K34" s="264">
        <v>0</v>
      </c>
      <c r="L34" t="s" s="268">
        <v>189</v>
      </c>
      <c r="M34" t="s" s="271">
        <v>251</v>
      </c>
      <c r="N34" t="s" s="270">
        <v>252</v>
      </c>
    </row>
    <row r="35" ht="42" customHeight="1">
      <c r="A35" s="7"/>
      <c r="B35" t="s" s="260">
        <v>116</v>
      </c>
      <c r="C35" t="s" s="260">
        <v>78</v>
      </c>
      <c r="D35" s="261" cm="1">
        <f t="array" ref="D35">H35/$H$40</f>
        <v>0.0133895611104045</v>
      </c>
      <c r="E35" s="262">
        <v>22.8272</v>
      </c>
      <c r="F35" s="263" cm="1">
        <f t="array" ref="F35">_xlfn.IFERROR(VLOOKUP(B35,'📥 Price Hub'!$B$5:$H$34,7,0),0)</f>
        <v>27.1</v>
      </c>
      <c r="G35" s="264">
        <v>114136</v>
      </c>
      <c r="H35" s="265" cm="1">
        <f t="array" ref="H35">_xlfn.IFERROR(VLOOKUP(B35,'📥 Price Hub'!$B$5:$D$34,3,0)*F35,0)</f>
        <v>135500</v>
      </c>
      <c r="I35" s="266" cm="1">
        <f t="array" ref="I35">H35-G35</f>
        <v>21364</v>
      </c>
      <c r="J35" s="267" cm="1">
        <f t="array" ref="J35">IF(G35=0,0,H35/G35-1)</f>
        <v>0.187180206069952</v>
      </c>
      <c r="K35" s="264">
        <v>0</v>
      </c>
      <c r="L35" t="s" s="268">
        <v>192</v>
      </c>
      <c r="M35" t="s" s="276">
        <v>253</v>
      </c>
      <c r="N35" t="s" s="270">
        <v>254</v>
      </c>
    </row>
    <row r="36" ht="42" customHeight="1">
      <c r="A36" s="7"/>
      <c r="B36" t="s" s="260">
        <v>117</v>
      </c>
      <c r="C36" t="s" s="260">
        <v>111</v>
      </c>
      <c r="D36" s="261" cm="1">
        <f t="array" ref="D36">H36/$H$40</f>
        <v>0.0127359924226982</v>
      </c>
      <c r="E36" s="262">
        <v>3310.275</v>
      </c>
      <c r="F36" s="263" cm="1">
        <f t="array" ref="F36">_xlfn.IFERROR(VLOOKUP(B36,'📥 Price Hub'!$B$5:$H$34,7,0),0)</f>
        <v>3222.15</v>
      </c>
      <c r="G36" s="264">
        <v>132411</v>
      </c>
      <c r="H36" s="265" cm="1">
        <f t="array" ref="H36">_xlfn.IFERROR(VLOOKUP(B36,'📥 Price Hub'!$B$5:$D$34,3,0)*F36,0)</f>
        <v>128886</v>
      </c>
      <c r="I36" s="266" cm="1">
        <f t="array" ref="I36">H36-G36</f>
        <v>-3525</v>
      </c>
      <c r="J36" s="267" cm="1">
        <f t="array" ref="J36">IF(G36=0,0,H36/G36-1)</f>
        <v>-0.0266216553005415</v>
      </c>
      <c r="K36" s="264">
        <v>0</v>
      </c>
      <c r="L36" t="s" s="268">
        <v>195</v>
      </c>
      <c r="M36" t="s" s="273">
        <v>255</v>
      </c>
      <c r="N36" t="s" s="270">
        <v>256</v>
      </c>
    </row>
    <row r="37" ht="42" customHeight="1">
      <c r="A37" s="7"/>
      <c r="B37" t="s" s="260">
        <v>118</v>
      </c>
      <c r="C37" t="s" s="260">
        <v>119</v>
      </c>
      <c r="D37" s="261" cm="1">
        <f t="array" ref="D37">H37/$H$40</f>
        <v>0.00971923833464825</v>
      </c>
      <c r="E37" s="262">
        <v>16262.96</v>
      </c>
      <c r="F37" s="263" cm="1">
        <f t="array" ref="F37">_xlfn.IFERROR(VLOOKUP(B37,'📥 Price Hub'!$B$5:$H$34,7,0),0)</f>
        <v>16392.83</v>
      </c>
      <c r="G37" s="264">
        <v>97577.759999999995</v>
      </c>
      <c r="H37" s="265" cm="1">
        <f t="array" ref="H37">_xlfn.IFERROR(VLOOKUP(B37,'📥 Price Hub'!$B$5:$D$34,3,0)*F37,0)</f>
        <v>98356.98</v>
      </c>
      <c r="I37" s="266" cm="1">
        <f t="array" ref="I37">H37-G37</f>
        <v>779.22</v>
      </c>
      <c r="J37" s="267">
        <v>0</v>
      </c>
      <c r="K37" t="s" s="277">
        <v>198</v>
      </c>
      <c r="L37" t="s" s="268">
        <v>257</v>
      </c>
      <c r="M37" t="s" s="278">
        <v>257</v>
      </c>
      <c r="N37" t="s" s="270">
        <v>120</v>
      </c>
    </row>
    <row r="38" ht="42" customHeight="1">
      <c r="A38" s="7"/>
      <c r="B38" s="279"/>
      <c r="C38" s="279"/>
      <c r="D38" s="280"/>
      <c r="E38" s="281"/>
      <c r="F38" s="282"/>
      <c r="G38" s="283"/>
      <c r="H38" s="284"/>
      <c r="I38" s="285"/>
      <c r="J38" s="286"/>
      <c r="K38" s="283"/>
      <c r="L38" s="287"/>
      <c r="M38" s="288"/>
      <c r="N38" s="289"/>
    </row>
    <row r="39" ht="42" customHeight="1">
      <c r="A39" s="7"/>
      <c r="B39" s="279"/>
      <c r="C39" s="279"/>
      <c r="D39" s="280"/>
      <c r="E39" s="281"/>
      <c r="F39" s="282"/>
      <c r="G39" s="283"/>
      <c r="H39" s="284"/>
      <c r="I39" s="285"/>
      <c r="J39" s="286"/>
      <c r="K39" s="283"/>
      <c r="L39" s="287"/>
      <c r="M39" s="290"/>
      <c r="N39" s="289"/>
    </row>
    <row r="40" ht="18" customHeight="1">
      <c r="A40" s="291"/>
      <c r="B40" t="s" s="292">
        <v>121</v>
      </c>
      <c r="C40" s="293"/>
      <c r="D40" s="294">
        <v>1</v>
      </c>
      <c r="E40" s="293"/>
      <c r="F40" s="293"/>
      <c r="G40" s="295" cm="1">
        <f t="array" ref="G40">SUM(G11:G39)</f>
        <v>8790005.5942</v>
      </c>
      <c r="H40" s="295" cm="1">
        <f t="array" ref="H40">SUM(H11:H39)</f>
        <v>10119823.86</v>
      </c>
      <c r="I40" s="296" cm="1">
        <f t="array" ref="I40">H40-G40</f>
        <v>1329818.2658</v>
      </c>
      <c r="J40" s="294" cm="1">
        <f t="array" ref="J40">I40/G40</f>
        <v>0.151287533500259</v>
      </c>
      <c r="K40" s="293"/>
      <c r="L40" s="293"/>
      <c r="M40" s="293"/>
      <c r="N40" s="293"/>
    </row>
  </sheetData>
  <mergeCells count="28">
    <mergeCell ref="B1:N1"/>
    <mergeCell ref="B2:N2"/>
    <mergeCell ref="B3:D3"/>
    <mergeCell ref="E3:G3"/>
    <mergeCell ref="H3:J3"/>
    <mergeCell ref="K3:L3"/>
    <mergeCell ref="M3:N3"/>
    <mergeCell ref="B4:D4"/>
    <mergeCell ref="E4:G4"/>
    <mergeCell ref="H4:J4"/>
    <mergeCell ref="K4:L4"/>
    <mergeCell ref="M4:N4"/>
    <mergeCell ref="B5:D5"/>
    <mergeCell ref="E5:G5"/>
    <mergeCell ref="H5:J5"/>
    <mergeCell ref="K5:L5"/>
    <mergeCell ref="M5:N5"/>
    <mergeCell ref="B6:D6"/>
    <mergeCell ref="E6:G6"/>
    <mergeCell ref="H6:J6"/>
    <mergeCell ref="K6:L6"/>
    <mergeCell ref="M6:N6"/>
    <mergeCell ref="B7:D7"/>
    <mergeCell ref="E7:G7"/>
    <mergeCell ref="H7:J7"/>
    <mergeCell ref="K7:L7"/>
    <mergeCell ref="M7:N7"/>
    <mergeCell ref="B9:N9"/>
  </mergeCells>
  <conditionalFormatting sqref="I11:J39">
    <cfRule type="cellIs" dxfId="2" priority="1" operator="lessThan" stopIfTrue="1">
      <formula>0</formula>
    </cfRule>
  </conditionalFormatting>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66"/>
  <sheetViews>
    <sheetView workbookViewId="0" showGridLines="0" defaultGridColor="1"/>
  </sheetViews>
  <sheetFormatPr defaultColWidth="8.66667" defaultRowHeight="15" customHeight="1" outlineLevelRow="0" outlineLevelCol="0"/>
  <cols>
    <col min="1" max="1" width="2" style="297" customWidth="1"/>
    <col min="2" max="2" width="13" style="297" customWidth="1"/>
    <col min="3" max="3" width="22" style="297" customWidth="1"/>
    <col min="4" max="4" width="9" style="297" customWidth="1"/>
    <col min="5" max="5" width="13" style="297" customWidth="1"/>
    <col min="6" max="6" width="11" style="297" customWidth="1"/>
    <col min="7" max="7" width="10" style="297" customWidth="1"/>
    <col min="8" max="8" width="44" style="297" customWidth="1"/>
    <col min="9" max="16384" width="8.67188" style="297" customWidth="1"/>
  </cols>
  <sheetData>
    <row r="1" ht="17.55" customHeight="1">
      <c r="A1" s="2"/>
      <c r="B1" t="s" s="247">
        <v>258</v>
      </c>
      <c r="C1" s="248"/>
      <c r="D1" s="248"/>
      <c r="E1" s="248"/>
      <c r="F1" s="248"/>
      <c r="G1" s="248"/>
      <c r="H1" s="248"/>
    </row>
    <row r="2" ht="18" customHeight="1">
      <c r="A2" s="7"/>
      <c r="B2" t="s" s="298">
        <v>259</v>
      </c>
      <c r="C2" s="299"/>
      <c r="D2" s="299"/>
      <c r="E2" s="299"/>
      <c r="F2" s="299"/>
      <c r="G2" s="299"/>
      <c r="H2" s="299"/>
    </row>
    <row r="3" ht="14.6" customHeight="1">
      <c r="A3" s="12"/>
      <c r="B3" s="300"/>
      <c r="C3" s="300"/>
      <c r="D3" s="300"/>
      <c r="E3" s="300"/>
      <c r="F3" s="300"/>
      <c r="G3" s="300"/>
      <c r="H3" s="301"/>
    </row>
    <row r="4" ht="20" customHeight="1">
      <c r="A4" s="7"/>
      <c r="B4" t="s" s="257">
        <v>260</v>
      </c>
      <c r="C4" s="258"/>
      <c r="D4" s="258"/>
      <c r="E4" s="258"/>
      <c r="F4" s="258"/>
      <c r="G4" s="258"/>
      <c r="H4" s="258"/>
    </row>
    <row r="5" ht="14.6" customHeight="1">
      <c r="A5" s="7"/>
      <c r="B5" t="s" s="270">
        <v>206</v>
      </c>
      <c r="C5" t="s" s="270">
        <v>207</v>
      </c>
      <c r="D5" s="302"/>
      <c r="E5" s="302"/>
      <c r="F5" s="302"/>
      <c r="G5" s="302"/>
      <c r="H5" t="s" s="303">
        <v>261</v>
      </c>
    </row>
    <row r="6" ht="14.6" customHeight="1">
      <c r="A6" s="7"/>
      <c r="B6" t="s" s="260">
        <v>104</v>
      </c>
      <c r="C6" t="s" s="260">
        <v>83</v>
      </c>
      <c r="D6" s="304"/>
      <c r="E6" s="283"/>
      <c r="F6" s="305"/>
      <c r="G6" s="306"/>
      <c r="H6" t="s" s="307">
        <v>171</v>
      </c>
    </row>
    <row r="7" ht="14.6" customHeight="1">
      <c r="A7" s="7"/>
      <c r="B7" t="s" s="260">
        <v>110</v>
      </c>
      <c r="C7" t="s" s="260">
        <v>111</v>
      </c>
      <c r="D7" s="304"/>
      <c r="E7" s="283"/>
      <c r="F7" s="305"/>
      <c r="G7" s="306"/>
      <c r="H7" t="s" s="307">
        <v>171</v>
      </c>
    </row>
    <row r="8" ht="25" customHeight="1">
      <c r="A8" s="7"/>
      <c r="B8" t="s" s="308">
        <v>262</v>
      </c>
      <c r="C8" s="309"/>
      <c r="D8" s="309"/>
      <c r="E8" s="309"/>
      <c r="F8" s="309"/>
      <c r="G8" s="309"/>
      <c r="H8" s="309"/>
    </row>
    <row r="9" ht="14.6" customHeight="1">
      <c r="A9" s="12"/>
      <c r="B9" s="300"/>
      <c r="C9" s="300"/>
      <c r="D9" s="300"/>
      <c r="E9" s="300"/>
      <c r="F9" s="300"/>
      <c r="G9" s="300"/>
      <c r="H9" s="301"/>
    </row>
    <row r="10" ht="20" customHeight="1">
      <c r="A10" s="7"/>
      <c r="B10" t="s" s="257">
        <v>263</v>
      </c>
      <c r="C10" s="258"/>
      <c r="D10" s="258"/>
      <c r="E10" s="258"/>
      <c r="F10" s="258"/>
      <c r="G10" s="258"/>
      <c r="H10" s="258"/>
    </row>
    <row r="11" ht="14.6" customHeight="1">
      <c r="A11" s="7"/>
      <c r="B11" t="s" s="270">
        <v>206</v>
      </c>
      <c r="C11" t="s" s="270">
        <v>207</v>
      </c>
      <c r="D11" s="302"/>
      <c r="E11" s="302"/>
      <c r="F11" s="302"/>
      <c r="G11" s="302"/>
      <c r="H11" t="s" s="303">
        <v>261</v>
      </c>
    </row>
    <row r="12" ht="14.6" customHeight="1">
      <c r="A12" s="7"/>
      <c r="B12" t="s" s="260">
        <v>84</v>
      </c>
      <c r="C12" t="s" s="260">
        <v>85</v>
      </c>
      <c r="D12" s="304"/>
      <c r="E12" s="283"/>
      <c r="F12" s="310"/>
      <c r="G12" s="311"/>
      <c r="H12" t="s" s="307">
        <v>143</v>
      </c>
    </row>
    <row r="13" ht="14.6" customHeight="1">
      <c r="A13" s="7"/>
      <c r="B13" t="s" s="260">
        <v>94</v>
      </c>
      <c r="C13" t="s" s="260">
        <v>95</v>
      </c>
      <c r="D13" s="304"/>
      <c r="E13" s="283"/>
      <c r="F13" s="310"/>
      <c r="G13" s="311"/>
      <c r="H13" t="s" s="307">
        <v>143</v>
      </c>
    </row>
    <row r="14" ht="14.6" customHeight="1">
      <c r="A14" s="7"/>
      <c r="B14" s="260"/>
      <c r="C14" s="260"/>
      <c r="D14" s="312"/>
      <c r="E14" s="264"/>
      <c r="F14" s="313"/>
      <c r="G14" s="314"/>
      <c r="H14" s="315"/>
    </row>
    <row r="15" ht="14.6" customHeight="1">
      <c r="A15" s="7"/>
      <c r="B15" t="s" s="308">
        <v>264</v>
      </c>
      <c r="C15" s="309"/>
      <c r="D15" s="309"/>
      <c r="E15" s="309"/>
      <c r="F15" s="309"/>
      <c r="G15" s="309"/>
      <c r="H15" s="309"/>
    </row>
    <row r="16" ht="14.6" customHeight="1">
      <c r="A16" s="12"/>
      <c r="B16" s="300"/>
      <c r="C16" s="300"/>
      <c r="D16" s="300"/>
      <c r="E16" s="300"/>
      <c r="F16" s="300"/>
      <c r="G16" s="300"/>
      <c r="H16" s="301"/>
    </row>
    <row r="17" ht="20" customHeight="1">
      <c r="A17" s="7"/>
      <c r="B17" t="s" s="257">
        <v>265</v>
      </c>
      <c r="C17" s="258"/>
      <c r="D17" s="258"/>
      <c r="E17" s="258"/>
      <c r="F17" s="258"/>
      <c r="G17" s="258"/>
      <c r="H17" s="258"/>
    </row>
    <row r="18" ht="14.6" customHeight="1">
      <c r="A18" s="7"/>
      <c r="B18" t="s" s="270">
        <v>206</v>
      </c>
      <c r="C18" t="s" s="270">
        <v>207</v>
      </c>
      <c r="D18" s="302"/>
      <c r="E18" s="302"/>
      <c r="F18" s="302"/>
      <c r="G18" s="302"/>
      <c r="H18" t="s" s="303">
        <v>261</v>
      </c>
    </row>
    <row r="19" ht="14.6" customHeight="1">
      <c r="A19" s="7"/>
      <c r="B19" t="s" s="260">
        <v>116</v>
      </c>
      <c r="C19" t="s" s="260">
        <v>78</v>
      </c>
      <c r="D19" s="304"/>
      <c r="E19" s="283"/>
      <c r="F19" s="310"/>
      <c r="G19" s="311"/>
      <c r="H19" t="s" s="307">
        <v>192</v>
      </c>
    </row>
    <row r="20" ht="14.6" customHeight="1">
      <c r="A20" s="7"/>
      <c r="B20" t="s" s="308">
        <v>266</v>
      </c>
      <c r="C20" s="309"/>
      <c r="D20" s="309"/>
      <c r="E20" s="309"/>
      <c r="F20" s="309"/>
      <c r="G20" s="309"/>
      <c r="H20" s="309"/>
    </row>
    <row r="21" ht="14.6" customHeight="1">
      <c r="A21" s="12"/>
      <c r="B21" s="300"/>
      <c r="C21" s="300"/>
      <c r="D21" s="300"/>
      <c r="E21" s="300"/>
      <c r="F21" s="300"/>
      <c r="G21" s="300"/>
      <c r="H21" s="301"/>
    </row>
    <row r="22" ht="20" customHeight="1">
      <c r="A22" s="7"/>
      <c r="B22" t="s" s="257">
        <v>267</v>
      </c>
      <c r="C22" s="258"/>
      <c r="D22" s="258"/>
      <c r="E22" s="258"/>
      <c r="F22" s="258"/>
      <c r="G22" s="258"/>
      <c r="H22" s="258"/>
    </row>
    <row r="23" ht="14.6" customHeight="1">
      <c r="A23" s="7"/>
      <c r="B23" t="s" s="270">
        <v>206</v>
      </c>
      <c r="C23" t="s" s="270">
        <v>207</v>
      </c>
      <c r="D23" s="302"/>
      <c r="E23" s="302"/>
      <c r="F23" s="302"/>
      <c r="G23" s="302"/>
      <c r="H23" t="s" s="303">
        <v>261</v>
      </c>
    </row>
    <row r="24" ht="14.6" customHeight="1">
      <c r="A24" s="7"/>
      <c r="B24" t="s" s="260">
        <v>77</v>
      </c>
      <c r="C24" t="s" s="260">
        <v>78</v>
      </c>
      <c r="D24" s="304"/>
      <c r="E24" s="283"/>
      <c r="F24" s="310"/>
      <c r="G24" s="311"/>
      <c r="H24" t="s" s="307">
        <v>134</v>
      </c>
    </row>
    <row r="25" ht="14.6" customHeight="1">
      <c r="A25" s="7"/>
      <c r="B25" t="s" s="260">
        <v>96</v>
      </c>
      <c r="C25" t="s" s="260">
        <v>97</v>
      </c>
      <c r="D25" s="304"/>
      <c r="E25" s="283"/>
      <c r="F25" s="310"/>
      <c r="G25" s="311"/>
      <c r="H25" t="s" s="307">
        <v>137</v>
      </c>
    </row>
    <row r="26" ht="14.6" customHeight="1">
      <c r="A26" s="7"/>
      <c r="B26" t="s" s="260">
        <v>101</v>
      </c>
      <c r="C26" t="s" s="260">
        <v>102</v>
      </c>
      <c r="D26" s="304"/>
      <c r="E26" s="283"/>
      <c r="F26" s="305"/>
      <c r="G26" s="306"/>
      <c r="H26" t="s" s="307">
        <v>165</v>
      </c>
    </row>
    <row r="27" ht="14.6" customHeight="1">
      <c r="A27" s="7"/>
      <c r="B27" t="s" s="260">
        <v>103</v>
      </c>
      <c r="C27" t="s" s="260">
        <v>91</v>
      </c>
      <c r="D27" s="304"/>
      <c r="E27" s="283"/>
      <c r="F27" s="305"/>
      <c r="G27" s="306"/>
      <c r="H27" t="s" s="307">
        <v>168</v>
      </c>
    </row>
    <row r="28" ht="14.6" customHeight="1">
      <c r="A28" s="7"/>
      <c r="B28" t="s" s="260">
        <v>109</v>
      </c>
      <c r="C28" t="s" s="260">
        <v>95</v>
      </c>
      <c r="D28" s="304"/>
      <c r="E28" s="283"/>
      <c r="F28" s="310"/>
      <c r="G28" s="311"/>
      <c r="H28" t="s" s="307">
        <v>137</v>
      </c>
    </row>
    <row r="29" ht="14.6" customHeight="1">
      <c r="A29" s="7"/>
      <c r="B29" t="s" s="308">
        <v>268</v>
      </c>
      <c r="C29" s="309"/>
      <c r="D29" s="309"/>
      <c r="E29" s="309"/>
      <c r="F29" s="309"/>
      <c r="G29" s="309"/>
      <c r="H29" s="309"/>
    </row>
    <row r="30" ht="14.6" customHeight="1">
      <c r="A30" s="12"/>
      <c r="B30" s="300"/>
      <c r="C30" s="300"/>
      <c r="D30" s="300"/>
      <c r="E30" s="300"/>
      <c r="F30" s="300"/>
      <c r="G30" s="300"/>
      <c r="H30" s="301"/>
    </row>
    <row r="31" ht="20" customHeight="1">
      <c r="A31" s="7"/>
      <c r="B31" t="s" s="257">
        <v>269</v>
      </c>
      <c r="C31" s="258"/>
      <c r="D31" s="258"/>
      <c r="E31" s="258"/>
      <c r="F31" s="258"/>
      <c r="G31" s="258"/>
      <c r="H31" s="258"/>
    </row>
    <row r="32" ht="14.6" customHeight="1">
      <c r="A32" s="7"/>
      <c r="B32" t="s" s="270">
        <v>206</v>
      </c>
      <c r="C32" t="s" s="270">
        <v>207</v>
      </c>
      <c r="D32" s="302"/>
      <c r="E32" s="302"/>
      <c r="F32" s="302"/>
      <c r="G32" s="302"/>
      <c r="H32" t="s" s="303">
        <v>261</v>
      </c>
    </row>
    <row r="33" ht="14.6" customHeight="1">
      <c r="A33" s="7"/>
      <c r="B33" t="s" s="260">
        <v>80</v>
      </c>
      <c r="C33" t="s" s="260">
        <v>81</v>
      </c>
      <c r="D33" s="304"/>
      <c r="E33" s="283"/>
      <c r="F33" s="310"/>
      <c r="G33" s="311"/>
      <c r="H33" t="s" s="307">
        <v>137</v>
      </c>
    </row>
    <row r="34" ht="14.6" customHeight="1">
      <c r="A34" s="7"/>
      <c r="B34" t="s" s="260">
        <v>86</v>
      </c>
      <c r="C34" t="s" s="260">
        <v>87</v>
      </c>
      <c r="D34" s="304"/>
      <c r="E34" s="283"/>
      <c r="F34" s="310"/>
      <c r="G34" s="311"/>
      <c r="H34" t="s" s="307">
        <v>137</v>
      </c>
    </row>
    <row r="35" ht="14.6" customHeight="1">
      <c r="A35" s="7"/>
      <c r="B35" t="s" s="260">
        <v>88</v>
      </c>
      <c r="C35" t="s" s="260">
        <v>89</v>
      </c>
      <c r="D35" s="304"/>
      <c r="E35" s="283"/>
      <c r="F35" s="310"/>
      <c r="G35" s="311"/>
      <c r="H35" t="s" s="307">
        <v>137</v>
      </c>
    </row>
    <row r="36" ht="14.6" customHeight="1">
      <c r="A36" s="7"/>
      <c r="B36" t="s" s="260">
        <v>90</v>
      </c>
      <c r="C36" t="s" s="260">
        <v>91</v>
      </c>
      <c r="D36" s="304"/>
      <c r="E36" s="283"/>
      <c r="F36" s="310"/>
      <c r="G36" s="311"/>
      <c r="H36" t="s" s="307">
        <v>137</v>
      </c>
    </row>
    <row r="37" ht="14.6" customHeight="1">
      <c r="A37" s="7"/>
      <c r="B37" t="s" s="260">
        <v>92</v>
      </c>
      <c r="C37" t="s" s="260">
        <v>87</v>
      </c>
      <c r="D37" s="304"/>
      <c r="E37" s="283"/>
      <c r="F37" s="310"/>
      <c r="G37" s="311"/>
      <c r="H37" t="s" s="307">
        <v>137</v>
      </c>
    </row>
    <row r="38" ht="14.6" customHeight="1">
      <c r="A38" s="7"/>
      <c r="B38" t="s" s="260">
        <v>93</v>
      </c>
      <c r="C38" t="s" s="260">
        <v>83</v>
      </c>
      <c r="D38" s="304"/>
      <c r="E38" s="283"/>
      <c r="F38" s="310"/>
      <c r="G38" s="311"/>
      <c r="H38" t="s" s="307">
        <v>137</v>
      </c>
    </row>
    <row r="39" ht="14.6" customHeight="1">
      <c r="A39" s="7"/>
      <c r="B39" t="s" s="260">
        <v>98</v>
      </c>
      <c r="C39" t="s" s="260">
        <v>87</v>
      </c>
      <c r="D39" s="304"/>
      <c r="E39" s="283"/>
      <c r="F39" s="310"/>
      <c r="G39" s="311"/>
      <c r="H39" t="s" s="307">
        <v>137</v>
      </c>
    </row>
    <row r="40" ht="14.6" customHeight="1">
      <c r="A40" s="7"/>
      <c r="B40" t="s" s="260">
        <v>114</v>
      </c>
      <c r="C40" t="s" s="260">
        <v>89</v>
      </c>
      <c r="D40" s="304"/>
      <c r="E40" s="283"/>
      <c r="F40" s="310"/>
      <c r="G40" s="311"/>
      <c r="H40" t="s" s="307">
        <v>137</v>
      </c>
    </row>
    <row r="41" ht="14.6" customHeight="1">
      <c r="A41" s="7"/>
      <c r="B41" t="s" s="308">
        <v>270</v>
      </c>
      <c r="C41" s="309"/>
      <c r="D41" s="309"/>
      <c r="E41" s="309"/>
      <c r="F41" s="309"/>
      <c r="G41" s="309"/>
      <c r="H41" s="309"/>
    </row>
    <row r="42" ht="14.6" customHeight="1">
      <c r="A42" s="12"/>
      <c r="B42" s="300"/>
      <c r="C42" s="300"/>
      <c r="D42" s="300"/>
      <c r="E42" s="300"/>
      <c r="F42" s="300"/>
      <c r="G42" s="300"/>
      <c r="H42" s="301"/>
    </row>
    <row r="43" ht="20" customHeight="1">
      <c r="A43" s="7"/>
      <c r="B43" t="s" s="257">
        <v>271</v>
      </c>
      <c r="C43" s="258"/>
      <c r="D43" s="258"/>
      <c r="E43" s="258"/>
      <c r="F43" s="258"/>
      <c r="G43" s="258"/>
      <c r="H43" s="258"/>
    </row>
    <row r="44" ht="14.6" customHeight="1">
      <c r="A44" s="7"/>
      <c r="B44" t="s" s="270">
        <v>206</v>
      </c>
      <c r="C44" t="s" s="270">
        <v>207</v>
      </c>
      <c r="D44" s="302"/>
      <c r="E44" s="302"/>
      <c r="F44" s="302"/>
      <c r="G44" s="302"/>
      <c r="H44" t="s" s="303">
        <v>261</v>
      </c>
    </row>
    <row r="45" ht="14.6" customHeight="1">
      <c r="A45" s="7"/>
      <c r="B45" t="s" s="260">
        <v>82</v>
      </c>
      <c r="C45" t="s" s="260">
        <v>83</v>
      </c>
      <c r="D45" s="304"/>
      <c r="E45" s="283"/>
      <c r="F45" s="310"/>
      <c r="G45" s="311"/>
      <c r="H45" t="s" s="307">
        <v>140</v>
      </c>
    </row>
    <row r="46" ht="14.6" customHeight="1">
      <c r="A46" s="7"/>
      <c r="B46" t="s" s="260">
        <v>99</v>
      </c>
      <c r="C46" t="s" s="260">
        <v>100</v>
      </c>
      <c r="D46" s="304"/>
      <c r="E46" s="283"/>
      <c r="F46" s="305"/>
      <c r="G46" s="306"/>
      <c r="H46" t="s" s="307">
        <v>162</v>
      </c>
    </row>
    <row r="47" ht="14.6" customHeight="1">
      <c r="A47" s="7"/>
      <c r="B47" t="s" s="260">
        <v>106</v>
      </c>
      <c r="C47" t="s" s="260">
        <v>107</v>
      </c>
      <c r="D47" s="304"/>
      <c r="E47" s="283"/>
      <c r="F47" s="305"/>
      <c r="G47" s="306"/>
      <c r="H47" t="s" s="307">
        <v>176</v>
      </c>
    </row>
    <row r="48" ht="14.6" customHeight="1">
      <c r="A48" s="7"/>
      <c r="B48" t="s" s="260">
        <v>108</v>
      </c>
      <c r="C48" t="s" s="260">
        <v>97</v>
      </c>
      <c r="D48" s="304"/>
      <c r="E48" s="283"/>
      <c r="F48" s="305"/>
      <c r="G48" s="306"/>
      <c r="H48" t="s" s="307">
        <v>176</v>
      </c>
    </row>
    <row r="49" ht="14.6" customHeight="1">
      <c r="A49" s="7"/>
      <c r="B49" t="s" s="308">
        <v>272</v>
      </c>
      <c r="C49" s="309"/>
      <c r="D49" s="309"/>
      <c r="E49" s="309"/>
      <c r="F49" s="309"/>
      <c r="G49" s="309"/>
      <c r="H49" s="309"/>
    </row>
    <row r="50" ht="14.6" customHeight="1">
      <c r="A50" s="12"/>
      <c r="B50" s="300"/>
      <c r="C50" s="300"/>
      <c r="D50" s="300"/>
      <c r="E50" s="300"/>
      <c r="F50" s="300"/>
      <c r="G50" s="300"/>
      <c r="H50" s="301"/>
    </row>
    <row r="51" ht="20" customHeight="1">
      <c r="A51" s="7"/>
      <c r="B51" t="s" s="257">
        <v>273</v>
      </c>
      <c r="C51" s="258"/>
      <c r="D51" s="258"/>
      <c r="E51" s="258"/>
      <c r="F51" s="258"/>
      <c r="G51" s="258"/>
      <c r="H51" s="258"/>
    </row>
    <row r="52" ht="14.6" customHeight="1">
      <c r="A52" s="7"/>
      <c r="B52" t="s" s="270">
        <v>206</v>
      </c>
      <c r="C52" t="s" s="270">
        <v>207</v>
      </c>
      <c r="D52" s="302"/>
      <c r="E52" s="302"/>
      <c r="F52" s="302"/>
      <c r="G52" s="302"/>
      <c r="H52" t="s" s="303">
        <v>261</v>
      </c>
    </row>
    <row r="53" ht="14.6" customHeight="1">
      <c r="A53" s="7"/>
      <c r="B53" t="s" s="260">
        <v>115</v>
      </c>
      <c r="C53" t="s" s="260">
        <v>111</v>
      </c>
      <c r="D53" s="304"/>
      <c r="E53" s="283"/>
      <c r="F53" s="305"/>
      <c r="G53" s="306"/>
      <c r="H53" t="s" s="307">
        <v>189</v>
      </c>
    </row>
    <row r="54" ht="14.6" customHeight="1">
      <c r="A54" s="7"/>
      <c r="B54" t="s" s="260">
        <v>117</v>
      </c>
      <c r="C54" t="s" s="260">
        <v>111</v>
      </c>
      <c r="D54" s="304"/>
      <c r="E54" s="283"/>
      <c r="F54" s="305"/>
      <c r="G54" s="306"/>
      <c r="H54" t="s" s="307">
        <v>195</v>
      </c>
    </row>
    <row r="55" ht="14.6" customHeight="1">
      <c r="A55" s="7"/>
      <c r="B55" t="s" s="308">
        <v>274</v>
      </c>
      <c r="C55" s="309"/>
      <c r="D55" s="309"/>
      <c r="E55" s="309"/>
      <c r="F55" s="309"/>
      <c r="G55" s="309"/>
      <c r="H55" s="309"/>
    </row>
    <row r="56" ht="14.6" customHeight="1">
      <c r="A56" s="12"/>
      <c r="B56" s="300"/>
      <c r="C56" s="300"/>
      <c r="D56" s="300"/>
      <c r="E56" s="300"/>
      <c r="F56" s="300"/>
      <c r="G56" s="300"/>
      <c r="H56" s="301"/>
    </row>
    <row r="57" ht="20" customHeight="1">
      <c r="A57" s="7"/>
      <c r="B57" t="s" s="257">
        <v>275</v>
      </c>
      <c r="C57" s="258"/>
      <c r="D57" s="258"/>
      <c r="E57" s="258"/>
      <c r="F57" s="258"/>
      <c r="G57" s="258"/>
      <c r="H57" s="258"/>
    </row>
    <row r="58" ht="14.6" customHeight="1">
      <c r="A58" s="7"/>
      <c r="B58" t="s" s="270">
        <v>206</v>
      </c>
      <c r="C58" t="s" s="270">
        <v>207</v>
      </c>
      <c r="D58" s="302"/>
      <c r="E58" s="302"/>
      <c r="F58" s="302"/>
      <c r="G58" s="302"/>
      <c r="H58" t="s" s="303">
        <v>261</v>
      </c>
    </row>
    <row r="59" ht="14.6" customHeight="1">
      <c r="A59" s="7"/>
      <c r="B59" t="s" s="316">
        <v>276</v>
      </c>
      <c r="C59" s="316"/>
      <c r="D59" s="316"/>
      <c r="E59" s="316"/>
      <c r="F59" s="316"/>
      <c r="G59" s="316"/>
      <c r="H59" s="316"/>
    </row>
    <row r="60" ht="14.6" customHeight="1">
      <c r="A60" s="7"/>
      <c r="B60" t="s" s="308">
        <v>277</v>
      </c>
      <c r="C60" s="309"/>
      <c r="D60" s="309"/>
      <c r="E60" s="309"/>
      <c r="F60" s="309"/>
      <c r="G60" s="309"/>
      <c r="H60" s="309"/>
    </row>
    <row r="61" ht="14.6" customHeight="1">
      <c r="A61" s="12"/>
      <c r="B61" s="300"/>
      <c r="C61" s="300"/>
      <c r="D61" s="300"/>
      <c r="E61" s="300"/>
      <c r="F61" s="300"/>
      <c r="G61" s="300"/>
      <c r="H61" s="301"/>
    </row>
    <row r="62" ht="20" customHeight="1">
      <c r="A62" s="7"/>
      <c r="B62" t="s" s="257">
        <v>278</v>
      </c>
      <c r="C62" s="258"/>
      <c r="D62" s="258"/>
      <c r="E62" s="258"/>
      <c r="F62" s="258"/>
      <c r="G62" s="258"/>
      <c r="H62" s="258"/>
    </row>
    <row r="63" ht="14.6" customHeight="1">
      <c r="A63" s="7"/>
      <c r="B63" t="s" s="270">
        <v>206</v>
      </c>
      <c r="C63" t="s" s="270">
        <v>207</v>
      </c>
      <c r="D63" s="302"/>
      <c r="E63" s="302"/>
      <c r="F63" s="302"/>
      <c r="G63" s="302"/>
      <c r="H63" t="s" s="303">
        <v>261</v>
      </c>
    </row>
    <row r="64" ht="14.6" customHeight="1">
      <c r="A64" s="7"/>
      <c r="B64" t="s" s="260">
        <v>118</v>
      </c>
      <c r="C64" t="s" s="260">
        <v>119</v>
      </c>
      <c r="D64" s="304"/>
      <c r="E64" s="283"/>
      <c r="F64" s="310"/>
      <c r="G64" s="311"/>
      <c r="H64" t="s" s="307">
        <v>198</v>
      </c>
    </row>
    <row r="65" ht="14.6" customHeight="1">
      <c r="A65" s="7"/>
      <c r="B65" s="260"/>
      <c r="C65" s="260"/>
      <c r="D65" s="304"/>
      <c r="E65" s="283"/>
      <c r="F65" s="310"/>
      <c r="G65" s="311"/>
      <c r="H65" s="307"/>
    </row>
    <row r="66" ht="14.6" customHeight="1">
      <c r="A66" s="291"/>
      <c r="B66" t="s" s="308">
        <v>279</v>
      </c>
      <c r="C66" s="309"/>
      <c r="D66" s="309"/>
      <c r="E66" s="309"/>
      <c r="F66" s="309"/>
      <c r="G66" s="309"/>
      <c r="H66" s="309"/>
    </row>
  </sheetData>
  <mergeCells count="21">
    <mergeCell ref="B1:H1"/>
    <mergeCell ref="B2:H2"/>
    <mergeCell ref="B4:H4"/>
    <mergeCell ref="B8:H8"/>
    <mergeCell ref="B10:H10"/>
    <mergeCell ref="B15:H15"/>
    <mergeCell ref="B17:H17"/>
    <mergeCell ref="B20:H20"/>
    <mergeCell ref="B22:H22"/>
    <mergeCell ref="B29:H29"/>
    <mergeCell ref="B31:H31"/>
    <mergeCell ref="B41:H41"/>
    <mergeCell ref="B43:H43"/>
    <mergeCell ref="B49:H49"/>
    <mergeCell ref="B51:H51"/>
    <mergeCell ref="B55:H55"/>
    <mergeCell ref="B57:H57"/>
    <mergeCell ref="B59:H59"/>
    <mergeCell ref="B60:H60"/>
    <mergeCell ref="B62:H62"/>
    <mergeCell ref="B66:H66"/>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F55"/>
  <sheetViews>
    <sheetView workbookViewId="0" showGridLines="0" defaultGridColor="1"/>
  </sheetViews>
  <sheetFormatPr defaultColWidth="8.66667" defaultRowHeight="15" customHeight="1" outlineLevelRow="0" outlineLevelCol="0"/>
  <cols>
    <col min="1" max="1" width="3" style="317" customWidth="1"/>
    <col min="2" max="2" width="22" style="317" customWidth="1"/>
    <col min="3" max="4" width="14" style="317" customWidth="1"/>
    <col min="5" max="5" width="16" style="317" customWidth="1"/>
    <col min="6" max="6" width="55" style="317" customWidth="1"/>
    <col min="7" max="16384" width="8.67188" style="317" customWidth="1"/>
  </cols>
  <sheetData>
    <row r="1" ht="14.6" customHeight="1">
      <c r="A1" s="318"/>
      <c r="B1" s="318"/>
      <c r="C1" s="318"/>
      <c r="D1" s="318"/>
      <c r="E1" s="318"/>
      <c r="F1" s="318"/>
    </row>
    <row r="2" ht="26" customHeight="1">
      <c r="A2" s="318"/>
      <c r="B2" t="s" s="319">
        <v>280</v>
      </c>
      <c r="C2" s="320"/>
      <c r="D2" s="320"/>
      <c r="E2" s="320"/>
      <c r="F2" s="320"/>
    </row>
    <row r="3" ht="14.6" customHeight="1">
      <c r="A3" s="318"/>
      <c r="B3" t="s" s="321">
        <v>281</v>
      </c>
      <c r="C3" s="322"/>
      <c r="D3" s="322"/>
      <c r="E3" s="322"/>
      <c r="F3" s="322"/>
    </row>
    <row r="4" ht="14.6" customHeight="1">
      <c r="A4" s="318"/>
      <c r="B4" s="318"/>
      <c r="C4" s="318"/>
      <c r="D4" s="318"/>
      <c r="E4" s="318"/>
      <c r="F4" s="318"/>
    </row>
    <row r="5" ht="14.6" customHeight="1">
      <c r="A5" s="318"/>
      <c r="B5" t="s" s="323">
        <v>282</v>
      </c>
      <c r="C5" t="s" s="323">
        <v>283</v>
      </c>
      <c r="D5" t="s" s="323">
        <v>126</v>
      </c>
      <c r="E5" t="s" s="323">
        <v>284</v>
      </c>
      <c r="F5" t="s" s="323">
        <v>285</v>
      </c>
    </row>
    <row r="6" ht="14.6" customHeight="1">
      <c r="A6" s="318"/>
      <c r="B6" s="318"/>
      <c r="C6" s="318"/>
      <c r="D6" s="318"/>
      <c r="E6" s="318"/>
      <c r="F6" s="318"/>
    </row>
    <row r="7" ht="15.5" customHeight="1">
      <c r="A7" s="318"/>
      <c r="B7" t="s" s="324">
        <v>286</v>
      </c>
      <c r="C7" s="325"/>
      <c r="D7" s="325"/>
      <c r="E7" s="325"/>
      <c r="F7" s="325"/>
    </row>
    <row r="8" ht="22.7" customHeight="1">
      <c r="A8" s="318"/>
      <c r="B8" t="s" s="326">
        <v>287</v>
      </c>
      <c r="C8" t="s" s="327">
        <v>288</v>
      </c>
      <c r="D8" s="328"/>
      <c r="E8" s="328"/>
      <c r="F8" s="328"/>
    </row>
    <row r="9" ht="24" customHeight="1">
      <c r="A9" s="318"/>
      <c r="B9" t="s" s="329">
        <v>289</v>
      </c>
      <c r="C9" t="s" s="330">
        <v>290</v>
      </c>
      <c r="D9" s="331"/>
      <c r="E9" s="331"/>
      <c r="F9" s="331"/>
    </row>
    <row r="10" ht="36.55" customHeight="1">
      <c r="A10" s="318"/>
      <c r="B10" t="s" s="332">
        <v>291</v>
      </c>
      <c r="C10" t="s" s="333">
        <v>292</v>
      </c>
      <c r="D10" s="334"/>
      <c r="E10" s="334"/>
      <c r="F10" s="334"/>
    </row>
    <row r="11" ht="22.7" customHeight="1">
      <c r="A11" s="318"/>
      <c r="B11" t="s" s="329">
        <v>293</v>
      </c>
      <c r="C11" t="s" s="330">
        <v>294</v>
      </c>
      <c r="D11" s="331"/>
      <c r="E11" s="331"/>
      <c r="F11" s="331"/>
    </row>
    <row r="12" ht="22.7" customHeight="1">
      <c r="A12" s="318"/>
      <c r="B12" t="s" s="332">
        <v>295</v>
      </c>
      <c r="C12" t="s" s="333">
        <v>296</v>
      </c>
      <c r="D12" s="334"/>
      <c r="E12" s="334"/>
      <c r="F12" s="334"/>
    </row>
    <row r="13" ht="22.7" customHeight="1">
      <c r="A13" s="318"/>
      <c r="B13" t="s" s="332">
        <v>297</v>
      </c>
      <c r="C13" t="s" s="333">
        <v>298</v>
      </c>
      <c r="D13" s="334"/>
      <c r="E13" s="334"/>
      <c r="F13" s="334"/>
    </row>
    <row r="14" ht="35.25" customHeight="1">
      <c r="A14" s="318"/>
      <c r="B14" t="s" s="335">
        <v>299</v>
      </c>
      <c r="C14" t="s" s="336">
        <v>300</v>
      </c>
      <c r="D14" s="337"/>
      <c r="E14" s="337"/>
      <c r="F14" s="337"/>
    </row>
    <row r="15" ht="14.6" customHeight="1">
      <c r="A15" s="318"/>
      <c r="B15" s="318"/>
      <c r="C15" s="318"/>
      <c r="D15" s="318"/>
      <c r="E15" s="318"/>
      <c r="F15" s="318"/>
    </row>
    <row r="16" ht="15.5" customHeight="1">
      <c r="A16" s="318"/>
      <c r="B16" t="s" s="338">
        <v>301</v>
      </c>
      <c r="C16" s="339"/>
      <c r="D16" s="339"/>
      <c r="E16" s="339"/>
      <c r="F16" s="339"/>
    </row>
    <row r="17" ht="34" customHeight="1">
      <c r="A17" s="318"/>
      <c r="B17" t="s" s="335">
        <v>302</v>
      </c>
      <c r="C17" t="s" s="336">
        <v>303</v>
      </c>
      <c r="D17" s="337"/>
      <c r="E17" s="337"/>
      <c r="F17" s="337"/>
    </row>
    <row r="18" ht="24" customHeight="1">
      <c r="A18" s="318"/>
      <c r="B18" t="s" s="332">
        <v>304</v>
      </c>
      <c r="C18" t="s" s="333">
        <v>305</v>
      </c>
      <c r="D18" s="334"/>
      <c r="E18" s="334"/>
      <c r="F18" s="334"/>
    </row>
    <row r="19" ht="32.7" customHeight="1">
      <c r="A19" s="318"/>
      <c r="B19" t="s" s="329">
        <v>306</v>
      </c>
      <c r="C19" t="s" s="330">
        <v>307</v>
      </c>
      <c r="D19" s="331"/>
      <c r="E19" s="331"/>
      <c r="F19" s="331"/>
    </row>
    <row r="20" ht="22.7" customHeight="1">
      <c r="A20" s="318"/>
      <c r="B20" t="s" s="329">
        <v>308</v>
      </c>
      <c r="C20" t="s" s="330">
        <v>309</v>
      </c>
      <c r="D20" s="331"/>
      <c r="E20" s="331"/>
      <c r="F20" s="331"/>
    </row>
    <row r="21" ht="42.7" customHeight="1">
      <c r="A21" s="318"/>
      <c r="B21" t="s" s="332">
        <v>310</v>
      </c>
      <c r="C21" t="s" s="333">
        <v>311</v>
      </c>
      <c r="D21" s="334"/>
      <c r="E21" s="334"/>
      <c r="F21" s="334"/>
    </row>
    <row r="22" ht="24" customHeight="1">
      <c r="A22" s="318"/>
      <c r="B22" t="s" s="335">
        <v>299</v>
      </c>
      <c r="C22" t="s" s="336">
        <v>312</v>
      </c>
      <c r="D22" s="337"/>
      <c r="E22" s="337"/>
      <c r="F22" s="337"/>
    </row>
    <row r="23" ht="14.6" customHeight="1">
      <c r="A23" s="318"/>
      <c r="B23" s="318"/>
      <c r="C23" s="318"/>
      <c r="D23" s="318"/>
      <c r="E23" s="318"/>
      <c r="F23" s="318"/>
    </row>
    <row r="24" ht="15.5" customHeight="1">
      <c r="A24" s="318"/>
      <c r="B24" t="s" s="324">
        <v>313</v>
      </c>
      <c r="C24" s="325"/>
      <c r="D24" s="325"/>
      <c r="E24" s="325"/>
      <c r="F24" s="325"/>
    </row>
    <row r="25" ht="25.25" customHeight="1">
      <c r="A25" s="318"/>
      <c r="B25" t="s" s="329">
        <v>314</v>
      </c>
      <c r="C25" t="s" s="330">
        <v>315</v>
      </c>
      <c r="D25" s="331"/>
      <c r="E25" s="331"/>
      <c r="F25" s="331"/>
    </row>
    <row r="26" ht="24" customHeight="1">
      <c r="A26" s="318"/>
      <c r="B26" t="s" s="335">
        <v>316</v>
      </c>
      <c r="C26" t="s" s="336">
        <v>317</v>
      </c>
      <c r="D26" s="337"/>
      <c r="E26" s="337"/>
      <c r="F26" s="337"/>
    </row>
    <row r="27" ht="24" customHeight="1">
      <c r="A27" s="318"/>
      <c r="B27" t="s" s="335">
        <v>318</v>
      </c>
      <c r="C27" t="s" s="336">
        <v>319</v>
      </c>
      <c r="D27" s="337"/>
      <c r="E27" s="337"/>
      <c r="F27" s="337"/>
    </row>
    <row r="28" ht="24" customHeight="1">
      <c r="A28" s="318"/>
      <c r="B28" t="s" s="332">
        <v>320</v>
      </c>
      <c r="C28" t="s" s="333">
        <v>321</v>
      </c>
      <c r="D28" s="334"/>
      <c r="E28" s="334"/>
      <c r="F28" s="334"/>
    </row>
    <row r="29" ht="32.7" customHeight="1">
      <c r="A29" s="318"/>
      <c r="B29" t="s" s="332">
        <v>322</v>
      </c>
      <c r="C29" t="s" s="333">
        <v>323</v>
      </c>
      <c r="D29" s="334"/>
      <c r="E29" s="334"/>
      <c r="F29" s="334"/>
    </row>
    <row r="30" ht="32.7" customHeight="1">
      <c r="A30" s="318"/>
      <c r="B30" t="s" s="329">
        <v>324</v>
      </c>
      <c r="C30" t="s" s="330">
        <v>325</v>
      </c>
      <c r="D30" s="331"/>
      <c r="E30" s="331"/>
      <c r="F30" s="331"/>
    </row>
    <row r="31" ht="32.7" customHeight="1">
      <c r="A31" s="318"/>
      <c r="B31" t="s" s="335">
        <v>299</v>
      </c>
      <c r="C31" t="s" s="336">
        <v>326</v>
      </c>
      <c r="D31" s="337"/>
      <c r="E31" s="337"/>
      <c r="F31" s="337"/>
    </row>
    <row r="32" ht="14.6" customHeight="1">
      <c r="A32" s="318"/>
      <c r="B32" s="318"/>
      <c r="C32" s="318"/>
      <c r="D32" s="318"/>
      <c r="E32" s="318"/>
      <c r="F32" s="318"/>
    </row>
    <row r="33" ht="15.5" customHeight="1">
      <c r="A33" s="318"/>
      <c r="B33" t="s" s="340">
        <v>327</v>
      </c>
      <c r="C33" s="341"/>
      <c r="D33" s="341"/>
      <c r="E33" s="341"/>
      <c r="F33" s="341"/>
    </row>
    <row r="34" ht="35.25" customHeight="1">
      <c r="A34" s="318"/>
      <c r="B34" t="s" s="332">
        <v>328</v>
      </c>
      <c r="C34" t="s" s="333">
        <v>329</v>
      </c>
      <c r="D34" s="334"/>
      <c r="E34" s="334"/>
      <c r="F34" s="334"/>
    </row>
    <row r="35" ht="29.25" customHeight="1">
      <c r="A35" s="318"/>
      <c r="B35" t="s" s="335">
        <v>330</v>
      </c>
      <c r="C35" t="s" s="336">
        <v>331</v>
      </c>
      <c r="D35" s="337"/>
      <c r="E35" s="337"/>
      <c r="F35" s="337"/>
    </row>
    <row r="36" ht="32.7" customHeight="1">
      <c r="A36" s="318"/>
      <c r="B36" t="s" s="335">
        <v>332</v>
      </c>
      <c r="C36" t="s" s="336">
        <v>333</v>
      </c>
      <c r="D36" s="337"/>
      <c r="E36" s="337"/>
      <c r="F36" s="337"/>
    </row>
    <row r="37" ht="32.7" customHeight="1">
      <c r="A37" s="318"/>
      <c r="B37" t="s" s="329">
        <v>334</v>
      </c>
      <c r="C37" t="s" s="330">
        <v>335</v>
      </c>
      <c r="D37" s="331"/>
      <c r="E37" s="331"/>
      <c r="F37" s="331"/>
    </row>
    <row r="38" ht="35.25" customHeight="1">
      <c r="A38" s="318"/>
      <c r="B38" t="s" s="332">
        <v>336</v>
      </c>
      <c r="C38" t="s" s="333">
        <v>337</v>
      </c>
      <c r="D38" s="334"/>
      <c r="E38" s="334"/>
      <c r="F38" s="334"/>
    </row>
    <row r="39" ht="35.25" customHeight="1">
      <c r="A39" s="318"/>
      <c r="B39" t="s" s="335">
        <v>299</v>
      </c>
      <c r="C39" t="s" s="336">
        <v>338</v>
      </c>
      <c r="D39" s="337"/>
      <c r="E39" s="337"/>
      <c r="F39" s="337"/>
    </row>
    <row r="40" ht="14.6" customHeight="1">
      <c r="A40" s="318"/>
      <c r="B40" s="318"/>
      <c r="C40" s="318"/>
      <c r="D40" s="318"/>
      <c r="E40" s="318"/>
      <c r="F40" s="318"/>
    </row>
    <row r="41" ht="16" customHeight="1">
      <c r="A41" s="318"/>
      <c r="B41" t="s" s="342">
        <v>339</v>
      </c>
      <c r="C41" s="343"/>
      <c r="D41" s="343"/>
      <c r="E41" s="343"/>
      <c r="F41" s="343"/>
    </row>
    <row r="42" ht="32.7" customHeight="1">
      <c r="A42" s="318"/>
      <c r="B42" t="s" s="329">
        <v>340</v>
      </c>
      <c r="C42" t="s" s="330">
        <v>341</v>
      </c>
      <c r="D42" s="331"/>
      <c r="E42" s="331"/>
      <c r="F42" s="331"/>
    </row>
    <row r="43" ht="32.7" customHeight="1">
      <c r="A43" s="318"/>
      <c r="B43" t="s" s="332">
        <v>342</v>
      </c>
      <c r="C43" t="s" s="333">
        <v>343</v>
      </c>
      <c r="D43" s="334"/>
      <c r="E43" s="334"/>
      <c r="F43" s="334"/>
    </row>
    <row r="44" ht="32.7" customHeight="1">
      <c r="A44" s="318"/>
      <c r="B44" t="s" s="329">
        <v>344</v>
      </c>
      <c r="C44" t="s" s="330">
        <v>345</v>
      </c>
      <c r="D44" s="331"/>
      <c r="E44" s="331"/>
      <c r="F44" s="331"/>
    </row>
    <row r="45" ht="22.7" customHeight="1">
      <c r="A45" s="318"/>
      <c r="B45" t="s" s="335">
        <v>346</v>
      </c>
      <c r="C45" t="s" s="336">
        <v>347</v>
      </c>
      <c r="D45" s="337"/>
      <c r="E45" s="337"/>
      <c r="F45" s="337"/>
    </row>
    <row r="46" ht="32.7" customHeight="1">
      <c r="A46" s="318"/>
      <c r="B46" t="s" s="332">
        <v>348</v>
      </c>
      <c r="C46" t="s" s="333">
        <v>349</v>
      </c>
      <c r="D46" s="334"/>
      <c r="E46" s="334"/>
      <c r="F46" s="334"/>
    </row>
    <row r="47" ht="28" customHeight="1">
      <c r="A47" s="318"/>
      <c r="B47" t="s" s="344">
        <v>299</v>
      </c>
      <c r="C47" t="s" s="344">
        <v>350</v>
      </c>
      <c r="D47" s="345"/>
      <c r="E47" s="345"/>
      <c r="F47" s="345"/>
    </row>
    <row r="48" ht="14.6" customHeight="1">
      <c r="A48" s="318"/>
      <c r="B48" s="318"/>
      <c r="C48" s="318"/>
      <c r="D48" s="318"/>
      <c r="E48" s="318"/>
      <c r="F48" s="318"/>
    </row>
    <row r="49" ht="14.6" customHeight="1">
      <c r="A49" s="318"/>
      <c r="B49" t="s" s="346">
        <v>351</v>
      </c>
      <c r="C49" s="347"/>
      <c r="D49" s="347"/>
      <c r="E49" s="347"/>
      <c r="F49" s="347"/>
    </row>
    <row r="50" ht="14.6" customHeight="1">
      <c r="A50" s="318"/>
      <c r="B50" s="318"/>
      <c r="C50" s="318"/>
      <c r="D50" s="318"/>
      <c r="E50" s="318"/>
      <c r="F50" s="318"/>
    </row>
    <row r="51" ht="14.6" customHeight="1">
      <c r="A51" s="318"/>
      <c r="B51" s="318"/>
      <c r="C51" s="318"/>
      <c r="D51" s="318"/>
      <c r="E51" s="318"/>
      <c r="F51" s="318"/>
    </row>
    <row r="52" ht="32.65" customHeight="1">
      <c r="A52" s="318"/>
      <c r="B52" t="s" s="348">
        <v>352</v>
      </c>
      <c r="C52" s="349"/>
      <c r="D52" s="318"/>
      <c r="E52" s="318"/>
      <c r="F52" s="318"/>
    </row>
    <row r="53" ht="44" customHeight="1">
      <c r="A53" s="318"/>
      <c r="B53" t="s" s="350">
        <v>353</v>
      </c>
      <c r="C53" t="s" s="351">
        <v>354</v>
      </c>
      <c r="D53" s="352"/>
      <c r="E53" s="352"/>
      <c r="F53" s="352"/>
    </row>
    <row r="54" ht="116.55" customHeight="1">
      <c r="A54" s="318"/>
      <c r="B54" t="s" s="353">
        <v>355</v>
      </c>
      <c r="C54" t="s" s="354">
        <v>356</v>
      </c>
      <c r="D54" s="352"/>
      <c r="E54" s="352"/>
      <c r="F54" s="352"/>
    </row>
    <row r="55" ht="71.85" customHeight="1">
      <c r="A55" s="318"/>
      <c r="B55" t="s" s="355">
        <v>357</v>
      </c>
      <c r="C55" t="s" s="356">
        <v>358</v>
      </c>
      <c r="D55" s="352"/>
      <c r="E55" s="352"/>
      <c r="F55" s="352"/>
    </row>
  </sheetData>
  <mergeCells count="44">
    <mergeCell ref="B2:F2"/>
    <mergeCell ref="B3:F3"/>
    <mergeCell ref="B7:F7"/>
    <mergeCell ref="C8:F8"/>
    <mergeCell ref="C9:F9"/>
    <mergeCell ref="C10:F10"/>
    <mergeCell ref="C11:F11"/>
    <mergeCell ref="C12:F12"/>
    <mergeCell ref="C13:F13"/>
    <mergeCell ref="C14:F14"/>
    <mergeCell ref="B16:F16"/>
    <mergeCell ref="C17:F17"/>
    <mergeCell ref="C18:F18"/>
    <mergeCell ref="C19:F19"/>
    <mergeCell ref="C20:F20"/>
    <mergeCell ref="C21:F21"/>
    <mergeCell ref="C22:F22"/>
    <mergeCell ref="B24:F24"/>
    <mergeCell ref="C25:F25"/>
    <mergeCell ref="C26:F26"/>
    <mergeCell ref="C27:F27"/>
    <mergeCell ref="C28:F28"/>
    <mergeCell ref="C29:F29"/>
    <mergeCell ref="C30:F30"/>
    <mergeCell ref="C31:F31"/>
    <mergeCell ref="B33:F33"/>
    <mergeCell ref="C34:F34"/>
    <mergeCell ref="C35:F35"/>
    <mergeCell ref="C36:F36"/>
    <mergeCell ref="C37:F37"/>
    <mergeCell ref="C38:F38"/>
    <mergeCell ref="C39:F39"/>
    <mergeCell ref="B41:F41"/>
    <mergeCell ref="C42:F42"/>
    <mergeCell ref="C43:F43"/>
    <mergeCell ref="C44:F44"/>
    <mergeCell ref="C45:F45"/>
    <mergeCell ref="C46:F46"/>
    <mergeCell ref="C47:F47"/>
    <mergeCell ref="B49:F49"/>
    <mergeCell ref="B52:C52"/>
    <mergeCell ref="C53:F53"/>
    <mergeCell ref="C54:F54"/>
    <mergeCell ref="C55:F55"/>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N67"/>
  <sheetViews>
    <sheetView workbookViewId="0" showGridLines="0" defaultGridColor="1"/>
  </sheetViews>
  <sheetFormatPr defaultColWidth="8.66667" defaultRowHeight="15" customHeight="1" outlineLevelRow="0" outlineLevelCol="0"/>
  <cols>
    <col min="1" max="1" width="8.67188" style="357" customWidth="1"/>
    <col min="2" max="2" width="5" style="357" customWidth="1"/>
    <col min="3" max="3" width="14" style="357" customWidth="1"/>
    <col min="4" max="5" width="22" style="357" customWidth="1"/>
    <col min="6" max="7" width="14" style="357" customWidth="1"/>
    <col min="8" max="8" width="50" style="357" customWidth="1"/>
    <col min="9" max="13" width="8.67188" style="357" customWidth="1"/>
    <col min="14" max="14" width="20" style="357" customWidth="1"/>
    <col min="15" max="16384" width="8.67188" style="357" customWidth="1"/>
  </cols>
  <sheetData>
    <row r="1" ht="19.5" customHeight="1">
      <c r="A1" s="98"/>
      <c r="B1" t="s" s="155">
        <v>359</v>
      </c>
      <c r="C1" s="156"/>
      <c r="D1" s="156"/>
      <c r="E1" s="156"/>
      <c r="F1" s="156"/>
      <c r="G1" s="156"/>
      <c r="H1" s="156"/>
      <c r="I1" s="156"/>
      <c r="J1" s="156"/>
      <c r="K1" s="156"/>
      <c r="L1" s="156"/>
      <c r="M1" s="156"/>
      <c r="N1" s="157"/>
    </row>
    <row r="2" ht="15.75" customHeight="1">
      <c r="A2" s="98"/>
      <c r="B2" t="s" s="158">
        <v>360</v>
      </c>
      <c r="C2" s="159"/>
      <c r="D2" s="159"/>
      <c r="E2" s="159"/>
      <c r="F2" s="159"/>
      <c r="G2" s="159"/>
      <c r="H2" s="159"/>
      <c r="I2" s="159"/>
      <c r="J2" s="159"/>
      <c r="K2" s="159"/>
      <c r="L2" s="159"/>
      <c r="M2" s="159"/>
      <c r="N2" s="160"/>
    </row>
    <row r="3" ht="13.55" customHeight="1">
      <c r="A3" s="105"/>
      <c r="B3" s="358"/>
      <c r="C3" s="358"/>
      <c r="D3" s="358"/>
      <c r="E3" s="358"/>
      <c r="F3" s="358"/>
      <c r="G3" s="358"/>
      <c r="H3" s="358"/>
      <c r="I3" s="358"/>
      <c r="J3" s="358"/>
      <c r="K3" s="358"/>
      <c r="L3" s="358"/>
      <c r="M3" s="358"/>
      <c r="N3" s="358"/>
    </row>
    <row r="4" ht="18" customHeight="1">
      <c r="A4" s="98"/>
      <c r="B4" t="s" s="359">
        <v>361</v>
      </c>
      <c r="C4" s="360"/>
      <c r="D4" s="360"/>
      <c r="E4" s="360"/>
      <c r="F4" s="360"/>
      <c r="G4" s="360"/>
      <c r="H4" s="360"/>
      <c r="I4" s="361"/>
      <c r="J4" s="361"/>
      <c r="K4" s="361"/>
      <c r="L4" s="361"/>
      <c r="M4" s="361"/>
      <c r="N4" s="362"/>
    </row>
    <row r="5" ht="24" customHeight="1">
      <c r="A5" s="363"/>
      <c r="B5" t="s" s="364">
        <v>282</v>
      </c>
      <c r="C5" t="s" s="364">
        <v>362</v>
      </c>
      <c r="D5" t="s" s="364">
        <v>363</v>
      </c>
      <c r="E5" t="s" s="364">
        <v>364</v>
      </c>
      <c r="F5" t="s" s="364">
        <v>365</v>
      </c>
      <c r="G5" t="s" s="364">
        <v>366</v>
      </c>
      <c r="H5" t="s" s="364">
        <v>367</v>
      </c>
      <c r="I5" s="365"/>
      <c r="J5" s="366"/>
      <c r="K5" s="366"/>
      <c r="L5" s="366"/>
      <c r="M5" s="366"/>
      <c r="N5" s="366"/>
    </row>
    <row r="6" ht="24" customHeight="1">
      <c r="A6" s="363"/>
      <c r="B6" t="s" s="367">
        <v>108</v>
      </c>
      <c r="C6" t="s" s="367">
        <v>368</v>
      </c>
      <c r="D6" t="s" s="367">
        <v>369</v>
      </c>
      <c r="E6" t="s" s="367">
        <v>370</v>
      </c>
      <c r="F6" t="s" s="367">
        <v>371</v>
      </c>
      <c r="G6" t="s" s="367">
        <v>372</v>
      </c>
      <c r="H6" t="s" s="367">
        <v>373</v>
      </c>
      <c r="I6" s="368"/>
      <c r="J6" s="105"/>
      <c r="K6" s="105"/>
      <c r="L6" s="105"/>
      <c r="M6" s="105"/>
      <c r="N6" s="105"/>
    </row>
    <row r="7" ht="24" customHeight="1">
      <c r="A7" s="363"/>
      <c r="B7" t="s" s="369">
        <v>105</v>
      </c>
      <c r="C7" t="s" s="369">
        <v>374</v>
      </c>
      <c r="D7" t="s" s="369">
        <v>375</v>
      </c>
      <c r="E7" t="s" s="369">
        <v>376</v>
      </c>
      <c r="F7" t="s" s="369">
        <v>377</v>
      </c>
      <c r="G7" t="s" s="369">
        <v>372</v>
      </c>
      <c r="H7" t="s" s="369">
        <v>378</v>
      </c>
      <c r="I7" s="368"/>
      <c r="J7" s="105"/>
      <c r="K7" s="105"/>
      <c r="L7" s="105"/>
      <c r="M7" s="105"/>
      <c r="N7" s="105"/>
    </row>
    <row r="8" ht="24" customHeight="1">
      <c r="A8" s="363"/>
      <c r="B8" t="s" s="370">
        <v>94</v>
      </c>
      <c r="C8" t="s" s="370">
        <v>379</v>
      </c>
      <c r="D8" t="s" s="370">
        <v>380</v>
      </c>
      <c r="E8" t="s" s="370">
        <v>381</v>
      </c>
      <c r="F8" t="s" s="370">
        <v>382</v>
      </c>
      <c r="G8" t="s" s="370">
        <v>383</v>
      </c>
      <c r="H8" t="s" s="370">
        <v>384</v>
      </c>
      <c r="I8" s="368"/>
      <c r="J8" s="105"/>
      <c r="K8" s="105"/>
      <c r="L8" s="105"/>
      <c r="M8" s="105"/>
      <c r="N8" s="105"/>
    </row>
    <row r="9" ht="13.55" customHeight="1">
      <c r="A9" s="105"/>
      <c r="B9" s="371"/>
      <c r="C9" s="371"/>
      <c r="D9" s="371"/>
      <c r="E9" s="371"/>
      <c r="F9" s="371"/>
      <c r="G9" s="371"/>
      <c r="H9" s="371"/>
      <c r="I9" s="372"/>
      <c r="J9" s="372"/>
      <c r="K9" s="372"/>
      <c r="L9" s="372"/>
      <c r="M9" s="372"/>
      <c r="N9" s="372"/>
    </row>
    <row r="10" ht="18" customHeight="1">
      <c r="A10" s="98"/>
      <c r="B10" t="s" s="359">
        <v>385</v>
      </c>
      <c r="C10" s="360"/>
      <c r="D10" s="360"/>
      <c r="E10" s="360"/>
      <c r="F10" s="360"/>
      <c r="G10" s="360"/>
      <c r="H10" s="360"/>
      <c r="I10" s="361"/>
      <c r="J10" s="361"/>
      <c r="K10" s="361"/>
      <c r="L10" s="361"/>
      <c r="M10" s="361"/>
      <c r="N10" s="362"/>
    </row>
    <row r="11" ht="24" customHeight="1">
      <c r="A11" s="363"/>
      <c r="B11" t="s" s="364">
        <v>282</v>
      </c>
      <c r="C11" t="s" s="364">
        <v>386</v>
      </c>
      <c r="D11" t="s" s="364">
        <v>387</v>
      </c>
      <c r="E11" t="s" s="364">
        <v>388</v>
      </c>
      <c r="F11" t="s" s="364">
        <v>365</v>
      </c>
      <c r="G11" t="s" s="364">
        <v>389</v>
      </c>
      <c r="H11" t="s" s="364">
        <v>390</v>
      </c>
      <c r="I11" s="365"/>
      <c r="J11" s="366"/>
      <c r="K11" s="366"/>
      <c r="L11" s="366"/>
      <c r="M11" s="366"/>
      <c r="N11" s="366"/>
    </row>
    <row r="12" ht="24" customHeight="1">
      <c r="A12" s="363"/>
      <c r="B12" t="s" s="373">
        <v>82</v>
      </c>
      <c r="C12" t="s" s="373">
        <v>391</v>
      </c>
      <c r="D12" t="s" s="373">
        <v>392</v>
      </c>
      <c r="E12" t="s" s="373">
        <v>393</v>
      </c>
      <c r="F12" t="s" s="373">
        <v>371</v>
      </c>
      <c r="G12" t="s" s="373">
        <v>394</v>
      </c>
      <c r="H12" t="s" s="373">
        <v>395</v>
      </c>
      <c r="I12" s="368"/>
      <c r="J12" s="105"/>
      <c r="K12" s="105"/>
      <c r="L12" s="105"/>
      <c r="M12" s="105"/>
      <c r="N12" s="105"/>
    </row>
    <row r="13" ht="24" customHeight="1">
      <c r="A13" s="363"/>
      <c r="B13" t="s" s="373">
        <v>84</v>
      </c>
      <c r="C13" t="s" s="373">
        <v>396</v>
      </c>
      <c r="D13" t="s" s="373">
        <v>392</v>
      </c>
      <c r="E13" t="s" s="373">
        <v>397</v>
      </c>
      <c r="F13" t="s" s="373">
        <v>398</v>
      </c>
      <c r="G13" t="s" s="373">
        <v>399</v>
      </c>
      <c r="H13" t="s" s="373">
        <v>372</v>
      </c>
      <c r="I13" s="368"/>
      <c r="J13" s="105"/>
      <c r="K13" s="105"/>
      <c r="L13" s="105"/>
      <c r="M13" s="105"/>
      <c r="N13" s="105"/>
    </row>
    <row r="14" ht="13.55" customHeight="1">
      <c r="A14" s="105"/>
      <c r="B14" s="371"/>
      <c r="C14" s="371"/>
      <c r="D14" s="371"/>
      <c r="E14" s="371"/>
      <c r="F14" s="371"/>
      <c r="G14" s="371"/>
      <c r="H14" s="371"/>
      <c r="I14" s="372"/>
      <c r="J14" s="372"/>
      <c r="K14" s="372"/>
      <c r="L14" s="372"/>
      <c r="M14" s="372"/>
      <c r="N14" s="372"/>
    </row>
    <row r="15" ht="18" customHeight="1">
      <c r="A15" s="98"/>
      <c r="B15" t="s" s="359">
        <v>400</v>
      </c>
      <c r="C15" s="360"/>
      <c r="D15" s="360"/>
      <c r="E15" s="360"/>
      <c r="F15" s="360"/>
      <c r="G15" s="360"/>
      <c r="H15" s="361"/>
      <c r="I15" s="361"/>
      <c r="J15" s="361"/>
      <c r="K15" s="361"/>
      <c r="L15" s="361"/>
      <c r="M15" s="361"/>
      <c r="N15" s="362"/>
    </row>
    <row r="16" ht="24" customHeight="1">
      <c r="A16" s="363"/>
      <c r="B16" t="s" s="364">
        <v>401</v>
      </c>
      <c r="C16" t="s" s="364">
        <v>402</v>
      </c>
      <c r="D16" t="s" s="364">
        <v>126</v>
      </c>
      <c r="E16" t="s" s="364">
        <v>282</v>
      </c>
      <c r="F16" t="s" s="364">
        <v>403</v>
      </c>
      <c r="G16" t="s" s="364">
        <v>404</v>
      </c>
      <c r="H16" s="365"/>
      <c r="I16" s="366"/>
      <c r="J16" s="366"/>
      <c r="K16" s="366"/>
      <c r="L16" s="366"/>
      <c r="M16" s="366"/>
      <c r="N16" s="366"/>
    </row>
    <row r="17" ht="24" customHeight="1">
      <c r="A17" s="363"/>
      <c r="B17" t="s" s="374">
        <v>405</v>
      </c>
      <c r="C17" t="s" s="374">
        <v>406</v>
      </c>
      <c r="D17" t="s" s="374">
        <v>171</v>
      </c>
      <c r="E17" t="s" s="374">
        <v>112</v>
      </c>
      <c r="F17" t="s" s="374">
        <v>407</v>
      </c>
      <c r="G17" t="s" s="374">
        <v>408</v>
      </c>
      <c r="H17" s="368"/>
      <c r="I17" s="105"/>
      <c r="J17" s="105"/>
      <c r="K17" s="105"/>
      <c r="L17" s="105"/>
      <c r="M17" s="105"/>
      <c r="N17" s="105"/>
    </row>
    <row r="18" ht="24" customHeight="1">
      <c r="A18" s="363"/>
      <c r="B18" t="s" s="375">
        <v>409</v>
      </c>
      <c r="C18" t="s" s="375">
        <v>410</v>
      </c>
      <c r="D18" t="s" s="375">
        <v>411</v>
      </c>
      <c r="E18" t="s" s="375">
        <v>110</v>
      </c>
      <c r="F18" t="s" s="375">
        <v>412</v>
      </c>
      <c r="G18" t="s" s="375">
        <v>413</v>
      </c>
      <c r="H18" s="368"/>
      <c r="I18" s="105"/>
      <c r="J18" s="105"/>
      <c r="K18" s="105"/>
      <c r="L18" s="105"/>
      <c r="M18" s="105"/>
      <c r="N18" s="105"/>
    </row>
    <row r="19" ht="24" customHeight="1">
      <c r="A19" s="363"/>
      <c r="B19" t="s" s="374">
        <v>414</v>
      </c>
      <c r="C19" t="s" s="374">
        <v>415</v>
      </c>
      <c r="D19" t="s" s="374">
        <v>416</v>
      </c>
      <c r="E19" t="s" s="374">
        <v>108</v>
      </c>
      <c r="F19" t="s" s="374">
        <v>417</v>
      </c>
      <c r="G19" t="s" s="374">
        <v>418</v>
      </c>
      <c r="H19" s="368"/>
      <c r="I19" s="105"/>
      <c r="J19" s="105"/>
      <c r="K19" s="105"/>
      <c r="L19" s="105"/>
      <c r="M19" s="105"/>
      <c r="N19" s="105"/>
    </row>
    <row r="20" ht="24" customHeight="1">
      <c r="A20" s="363"/>
      <c r="B20" t="s" s="375">
        <v>419</v>
      </c>
      <c r="C20" t="s" s="375">
        <v>415</v>
      </c>
      <c r="D20" t="s" s="375">
        <v>420</v>
      </c>
      <c r="E20" t="s" s="375">
        <v>105</v>
      </c>
      <c r="F20" t="s" s="375">
        <v>421</v>
      </c>
      <c r="G20" t="s" s="375">
        <v>422</v>
      </c>
      <c r="H20" s="368"/>
      <c r="I20" s="105"/>
      <c r="J20" s="105"/>
      <c r="K20" s="105"/>
      <c r="L20" s="105"/>
      <c r="M20" s="105"/>
      <c r="N20" s="105"/>
    </row>
    <row r="21" ht="24" customHeight="1">
      <c r="A21" s="363"/>
      <c r="B21" t="s" s="374">
        <v>423</v>
      </c>
      <c r="C21" t="s" s="374">
        <v>415</v>
      </c>
      <c r="D21" t="s" s="374">
        <v>424</v>
      </c>
      <c r="E21" t="s" s="374">
        <v>84</v>
      </c>
      <c r="F21" t="s" s="374">
        <v>425</v>
      </c>
      <c r="G21" t="s" s="374">
        <v>426</v>
      </c>
      <c r="H21" s="368"/>
      <c r="I21" s="105"/>
      <c r="J21" s="105"/>
      <c r="K21" s="105"/>
      <c r="L21" s="105"/>
      <c r="M21" s="105"/>
      <c r="N21" s="105"/>
    </row>
    <row r="22" ht="24" customHeight="1">
      <c r="A22" s="363"/>
      <c r="B22" t="s" s="375">
        <v>427</v>
      </c>
      <c r="C22" t="s" s="375">
        <v>415</v>
      </c>
      <c r="D22" t="s" s="375">
        <v>428</v>
      </c>
      <c r="E22" t="s" s="375">
        <v>82</v>
      </c>
      <c r="F22" t="s" s="375">
        <v>417</v>
      </c>
      <c r="G22" t="s" s="375">
        <v>429</v>
      </c>
      <c r="H22" s="368"/>
      <c r="I22" s="105"/>
      <c r="J22" s="105"/>
      <c r="K22" s="105"/>
      <c r="L22" s="105"/>
      <c r="M22" s="105"/>
      <c r="N22" s="105"/>
    </row>
    <row r="23" ht="24" customHeight="1">
      <c r="A23" s="363"/>
      <c r="B23" t="s" s="374">
        <v>430</v>
      </c>
      <c r="C23" t="s" s="374">
        <v>431</v>
      </c>
      <c r="D23" t="s" s="374">
        <v>432</v>
      </c>
      <c r="E23" t="s" s="374">
        <v>94</v>
      </c>
      <c r="F23" t="s" s="374">
        <v>433</v>
      </c>
      <c r="G23" t="s" s="374">
        <v>434</v>
      </c>
      <c r="H23" s="368"/>
      <c r="I23" s="105"/>
      <c r="J23" s="105"/>
      <c r="K23" s="105"/>
      <c r="L23" s="105"/>
      <c r="M23" s="105"/>
      <c r="N23" s="105"/>
    </row>
    <row r="24" ht="24" customHeight="1">
      <c r="A24" s="363"/>
      <c r="B24" t="s" s="375">
        <v>435</v>
      </c>
      <c r="C24" t="s" s="375">
        <v>436</v>
      </c>
      <c r="D24" t="s" s="375">
        <v>437</v>
      </c>
      <c r="E24" t="s" s="375">
        <v>96</v>
      </c>
      <c r="F24" t="s" s="375">
        <v>438</v>
      </c>
      <c r="G24" t="s" s="375">
        <v>439</v>
      </c>
      <c r="H24" s="368"/>
      <c r="I24" s="105"/>
      <c r="J24" s="105"/>
      <c r="K24" s="105"/>
      <c r="L24" s="105"/>
      <c r="M24" s="105"/>
      <c r="N24" s="105"/>
    </row>
    <row r="25" ht="24" customHeight="1">
      <c r="A25" s="363"/>
      <c r="B25" t="s" s="374">
        <v>440</v>
      </c>
      <c r="C25" t="s" s="374">
        <v>441</v>
      </c>
      <c r="D25" t="s" s="374">
        <v>442</v>
      </c>
      <c r="E25" t="s" s="374">
        <v>110</v>
      </c>
      <c r="F25" t="s" s="374">
        <v>443</v>
      </c>
      <c r="G25" t="s" s="374">
        <v>444</v>
      </c>
      <c r="H25" s="368"/>
      <c r="I25" s="105"/>
      <c r="J25" s="105"/>
      <c r="K25" s="105"/>
      <c r="L25" s="105"/>
      <c r="M25" s="105"/>
      <c r="N25" s="105"/>
    </row>
    <row r="26" ht="24" customHeight="1">
      <c r="A26" s="363"/>
      <c r="B26" t="s" s="375">
        <v>445</v>
      </c>
      <c r="C26" t="s" s="375">
        <v>446</v>
      </c>
      <c r="D26" t="s" s="375">
        <v>442</v>
      </c>
      <c r="E26" t="s" s="375">
        <v>104</v>
      </c>
      <c r="F26" t="s" s="375">
        <v>447</v>
      </c>
      <c r="G26" t="s" s="375">
        <v>448</v>
      </c>
      <c r="H26" s="368"/>
      <c r="I26" s="105"/>
      <c r="J26" s="105"/>
      <c r="K26" s="105"/>
      <c r="L26" s="105"/>
      <c r="M26" s="105"/>
      <c r="N26" s="105"/>
    </row>
    <row r="27" ht="24" customHeight="1">
      <c r="A27" s="363"/>
      <c r="B27" t="s" s="374">
        <v>449</v>
      </c>
      <c r="C27" t="s" s="374">
        <v>450</v>
      </c>
      <c r="D27" t="s" s="374">
        <v>451</v>
      </c>
      <c r="E27" t="s" s="374">
        <v>93</v>
      </c>
      <c r="F27" t="s" s="374">
        <v>452</v>
      </c>
      <c r="G27" t="s" s="374">
        <v>453</v>
      </c>
      <c r="H27" s="368"/>
      <c r="I27" s="105"/>
      <c r="J27" s="105"/>
      <c r="K27" s="105"/>
      <c r="L27" s="105"/>
      <c r="M27" s="105"/>
      <c r="N27" s="105"/>
    </row>
    <row r="28" ht="24" customHeight="1">
      <c r="A28" s="363"/>
      <c r="B28" t="s" s="375">
        <v>454</v>
      </c>
      <c r="C28" t="s" s="375">
        <v>450</v>
      </c>
      <c r="D28" t="s" s="375">
        <v>455</v>
      </c>
      <c r="E28" t="s" s="375">
        <v>117</v>
      </c>
      <c r="F28" t="s" s="375">
        <v>456</v>
      </c>
      <c r="G28" t="s" s="375">
        <v>457</v>
      </c>
      <c r="H28" s="368"/>
      <c r="I28" s="105"/>
      <c r="J28" s="105"/>
      <c r="K28" s="105"/>
      <c r="L28" s="105"/>
      <c r="M28" s="105"/>
      <c r="N28" s="105"/>
    </row>
    <row r="29" ht="13.55" customHeight="1">
      <c r="A29" s="105"/>
      <c r="B29" s="371"/>
      <c r="C29" s="371"/>
      <c r="D29" s="371"/>
      <c r="E29" s="371"/>
      <c r="F29" s="371"/>
      <c r="G29" s="371"/>
      <c r="H29" s="372"/>
      <c r="I29" s="372"/>
      <c r="J29" s="372"/>
      <c r="K29" s="372"/>
      <c r="L29" s="372"/>
      <c r="M29" s="372"/>
      <c r="N29" s="372"/>
    </row>
    <row r="30" ht="18" customHeight="1">
      <c r="A30" s="98"/>
      <c r="B30" t="s" s="359">
        <v>458</v>
      </c>
      <c r="C30" s="360"/>
      <c r="D30" s="360"/>
      <c r="E30" s="360"/>
      <c r="F30" s="360"/>
      <c r="G30" s="360"/>
      <c r="H30" s="361"/>
      <c r="I30" s="361"/>
      <c r="J30" s="361"/>
      <c r="K30" s="361"/>
      <c r="L30" s="361"/>
      <c r="M30" s="361"/>
      <c r="N30" s="362"/>
    </row>
    <row r="31" ht="24" customHeight="1">
      <c r="A31" s="363"/>
      <c r="B31" t="s" s="364">
        <v>459</v>
      </c>
      <c r="C31" t="s" s="364">
        <v>125</v>
      </c>
      <c r="D31" t="s" s="364">
        <v>460</v>
      </c>
      <c r="E31" t="s" s="364">
        <v>461</v>
      </c>
      <c r="F31" t="s" s="364">
        <v>462</v>
      </c>
      <c r="G31" t="s" s="364">
        <v>404</v>
      </c>
      <c r="H31" s="365"/>
      <c r="I31" s="366"/>
      <c r="J31" s="366"/>
      <c r="K31" s="366"/>
      <c r="L31" s="366"/>
      <c r="M31" s="366"/>
      <c r="N31" s="366"/>
    </row>
    <row r="32" ht="24" customHeight="1">
      <c r="A32" s="363"/>
      <c r="B32" t="s" s="376">
        <v>96</v>
      </c>
      <c r="C32" t="s" s="376">
        <v>97</v>
      </c>
      <c r="D32" t="s" s="376">
        <v>463</v>
      </c>
      <c r="E32" t="s" s="376">
        <v>464</v>
      </c>
      <c r="F32" t="s" s="376">
        <v>465</v>
      </c>
      <c r="G32" t="s" s="376">
        <v>466</v>
      </c>
      <c r="H32" s="368"/>
      <c r="I32" s="105"/>
      <c r="J32" s="105"/>
      <c r="K32" s="105"/>
      <c r="L32" s="105"/>
      <c r="M32" s="105"/>
      <c r="N32" s="105"/>
    </row>
    <row r="33" ht="24" customHeight="1">
      <c r="A33" s="363"/>
      <c r="B33" t="s" s="374">
        <v>104</v>
      </c>
      <c r="C33" t="s" s="374">
        <v>83</v>
      </c>
      <c r="D33" t="s" s="374">
        <v>467</v>
      </c>
      <c r="E33" t="s" s="374">
        <v>468</v>
      </c>
      <c r="F33" t="s" s="374">
        <v>469</v>
      </c>
      <c r="G33" t="s" s="374">
        <v>470</v>
      </c>
      <c r="H33" s="368"/>
      <c r="I33" s="105"/>
      <c r="J33" s="105"/>
      <c r="K33" s="105"/>
      <c r="L33" s="105"/>
      <c r="M33" s="105"/>
      <c r="N33" s="105"/>
    </row>
    <row r="34" ht="24" customHeight="1">
      <c r="A34" s="363"/>
      <c r="B34" t="s" s="376">
        <v>110</v>
      </c>
      <c r="C34" t="s" s="376">
        <v>471</v>
      </c>
      <c r="D34" t="s" s="376">
        <v>472</v>
      </c>
      <c r="E34" t="s" s="376">
        <v>473</v>
      </c>
      <c r="F34" t="s" s="376">
        <v>474</v>
      </c>
      <c r="G34" t="s" s="376">
        <v>475</v>
      </c>
      <c r="H34" s="368"/>
      <c r="I34" s="105"/>
      <c r="J34" s="105"/>
      <c r="K34" s="105"/>
      <c r="L34" s="105"/>
      <c r="M34" s="105"/>
      <c r="N34" s="105"/>
    </row>
    <row r="35" ht="24" customHeight="1">
      <c r="A35" s="363"/>
      <c r="B35" t="s" s="374">
        <v>93</v>
      </c>
      <c r="C35" t="s" s="374">
        <v>83</v>
      </c>
      <c r="D35" t="s" s="374">
        <v>476</v>
      </c>
      <c r="E35" t="s" s="374">
        <v>477</v>
      </c>
      <c r="F35" t="s" s="374">
        <v>478</v>
      </c>
      <c r="G35" t="s" s="374">
        <v>479</v>
      </c>
      <c r="H35" s="368"/>
      <c r="I35" s="105"/>
      <c r="J35" s="105"/>
      <c r="K35" s="105"/>
      <c r="L35" s="105"/>
      <c r="M35" s="105"/>
      <c r="N35" s="105"/>
    </row>
    <row r="36" ht="13.55" customHeight="1">
      <c r="A36" s="105"/>
      <c r="B36" s="371"/>
      <c r="C36" s="371"/>
      <c r="D36" s="371"/>
      <c r="E36" s="371"/>
      <c r="F36" s="371"/>
      <c r="G36" s="371"/>
      <c r="H36" s="372"/>
      <c r="I36" s="372"/>
      <c r="J36" s="372"/>
      <c r="K36" s="372"/>
      <c r="L36" s="372"/>
      <c r="M36" s="372"/>
      <c r="N36" s="372"/>
    </row>
    <row r="37" ht="18" customHeight="1">
      <c r="A37" s="98"/>
      <c r="B37" t="s" s="359">
        <v>480</v>
      </c>
      <c r="C37" s="360"/>
      <c r="D37" s="360"/>
      <c r="E37" s="360"/>
      <c r="F37" s="360"/>
      <c r="G37" s="360"/>
      <c r="H37" s="360"/>
      <c r="I37" s="361"/>
      <c r="J37" s="361"/>
      <c r="K37" s="361"/>
      <c r="L37" s="361"/>
      <c r="M37" s="361"/>
      <c r="N37" s="362"/>
    </row>
    <row r="38" ht="24" customHeight="1">
      <c r="A38" s="363"/>
      <c r="B38" t="s" s="364">
        <v>481</v>
      </c>
      <c r="C38" t="s" s="364">
        <v>282</v>
      </c>
      <c r="D38" t="s" s="364">
        <v>125</v>
      </c>
      <c r="E38" t="s" s="364">
        <v>126</v>
      </c>
      <c r="F38" t="s" s="364">
        <v>387</v>
      </c>
      <c r="G38" t="s" s="364">
        <v>482</v>
      </c>
      <c r="H38" t="s" s="364">
        <v>483</v>
      </c>
      <c r="I38" s="365"/>
      <c r="J38" s="366"/>
      <c r="K38" s="366"/>
      <c r="L38" s="366"/>
      <c r="M38" s="366"/>
      <c r="N38" s="366"/>
    </row>
    <row r="39" ht="24" customHeight="1">
      <c r="A39" s="363"/>
      <c r="B39" s="377">
        <v>1</v>
      </c>
      <c r="C39" t="s" s="378">
        <v>77</v>
      </c>
      <c r="D39" t="s" s="378">
        <v>484</v>
      </c>
      <c r="E39" t="s" s="378">
        <v>134</v>
      </c>
      <c r="F39" t="s" s="378">
        <v>485</v>
      </c>
      <c r="G39" t="s" s="378">
        <v>486</v>
      </c>
      <c r="H39" t="s" s="378">
        <v>487</v>
      </c>
      <c r="I39" s="368"/>
      <c r="J39" s="105"/>
      <c r="K39" s="105"/>
      <c r="L39" s="105"/>
      <c r="M39" s="105"/>
      <c r="N39" s="105"/>
    </row>
    <row r="40" ht="24" customHeight="1">
      <c r="A40" s="363"/>
      <c r="B40" s="377">
        <v>2</v>
      </c>
      <c r="C40" t="s" s="378">
        <v>80</v>
      </c>
      <c r="D40" t="s" s="378">
        <v>81</v>
      </c>
      <c r="E40" t="s" s="378">
        <v>137</v>
      </c>
      <c r="F40" t="s" s="378">
        <v>465</v>
      </c>
      <c r="G40" t="s" s="378">
        <v>219</v>
      </c>
      <c r="H40" t="s" s="378">
        <v>488</v>
      </c>
      <c r="I40" s="368"/>
      <c r="J40" s="105"/>
      <c r="K40" s="105"/>
      <c r="L40" s="105"/>
      <c r="M40" s="105"/>
      <c r="N40" s="105"/>
    </row>
    <row r="41" ht="24" customHeight="1">
      <c r="A41" s="363"/>
      <c r="B41" s="379">
        <v>3</v>
      </c>
      <c r="C41" t="s" s="376">
        <v>96</v>
      </c>
      <c r="D41" t="s" s="376">
        <v>97</v>
      </c>
      <c r="E41" t="s" s="376">
        <v>489</v>
      </c>
      <c r="F41" t="s" s="376">
        <v>465</v>
      </c>
      <c r="G41" t="s" s="376">
        <v>490</v>
      </c>
      <c r="H41" t="s" s="376">
        <v>491</v>
      </c>
      <c r="I41" s="368"/>
      <c r="J41" s="105"/>
      <c r="K41" s="105"/>
      <c r="L41" s="105"/>
      <c r="M41" s="105"/>
      <c r="N41" s="105"/>
    </row>
    <row r="42" ht="24" customHeight="1">
      <c r="A42" s="363"/>
      <c r="B42" s="379">
        <v>4</v>
      </c>
      <c r="C42" t="s" s="376">
        <v>110</v>
      </c>
      <c r="D42" t="s" s="376">
        <v>471</v>
      </c>
      <c r="E42" t="s" s="376">
        <v>171</v>
      </c>
      <c r="F42" t="s" s="376">
        <v>492</v>
      </c>
      <c r="G42" t="s" s="376">
        <v>490</v>
      </c>
      <c r="H42" t="s" s="376">
        <v>493</v>
      </c>
      <c r="I42" s="368"/>
      <c r="J42" s="105"/>
      <c r="K42" s="105"/>
      <c r="L42" s="105"/>
      <c r="M42" s="105"/>
      <c r="N42" s="105"/>
    </row>
    <row r="43" ht="24" customHeight="1">
      <c r="A43" s="363"/>
      <c r="B43" s="377">
        <v>5</v>
      </c>
      <c r="C43" t="s" s="378">
        <v>86</v>
      </c>
      <c r="D43" t="s" s="378">
        <v>87</v>
      </c>
      <c r="E43" t="s" s="378">
        <v>137</v>
      </c>
      <c r="F43" t="s" s="378">
        <v>474</v>
      </c>
      <c r="G43" t="s" s="378">
        <v>219</v>
      </c>
      <c r="H43" t="s" s="378">
        <v>494</v>
      </c>
      <c r="I43" s="368"/>
      <c r="J43" s="105"/>
      <c r="K43" s="105"/>
      <c r="L43" s="105"/>
      <c r="M43" s="105"/>
      <c r="N43" s="105"/>
    </row>
    <row r="44" ht="24" customHeight="1">
      <c r="A44" s="363"/>
      <c r="B44" s="377">
        <v>6</v>
      </c>
      <c r="C44" t="s" s="378">
        <v>88</v>
      </c>
      <c r="D44" t="s" s="378">
        <v>89</v>
      </c>
      <c r="E44" t="s" s="378">
        <v>137</v>
      </c>
      <c r="F44" t="s" s="378">
        <v>469</v>
      </c>
      <c r="G44" t="s" s="378">
        <v>219</v>
      </c>
      <c r="H44" t="s" s="378">
        <v>495</v>
      </c>
      <c r="I44" s="368"/>
      <c r="J44" s="105"/>
      <c r="K44" s="105"/>
      <c r="L44" s="105"/>
      <c r="M44" s="105"/>
      <c r="N44" s="105"/>
    </row>
    <row r="45" ht="24" customHeight="1">
      <c r="A45" s="363"/>
      <c r="B45" s="377">
        <v>7</v>
      </c>
      <c r="C45" t="s" s="378">
        <v>90</v>
      </c>
      <c r="D45" t="s" s="378">
        <v>496</v>
      </c>
      <c r="E45" t="s" s="378">
        <v>137</v>
      </c>
      <c r="F45" t="s" s="378">
        <v>469</v>
      </c>
      <c r="G45" t="s" s="378">
        <v>497</v>
      </c>
      <c r="H45" t="s" s="378">
        <v>498</v>
      </c>
      <c r="I45" s="368"/>
      <c r="J45" s="105"/>
      <c r="K45" s="105"/>
      <c r="L45" s="105"/>
      <c r="M45" s="105"/>
      <c r="N45" s="105"/>
    </row>
    <row r="46" ht="24" customHeight="1">
      <c r="A46" s="363"/>
      <c r="B46" s="377">
        <v>8</v>
      </c>
      <c r="C46" t="s" s="378">
        <v>92</v>
      </c>
      <c r="D46" t="s" s="378">
        <v>499</v>
      </c>
      <c r="E46" t="s" s="378">
        <v>500</v>
      </c>
      <c r="F46" t="s" s="378">
        <v>469</v>
      </c>
      <c r="G46" t="s" s="378">
        <v>497</v>
      </c>
      <c r="H46" t="s" s="378">
        <v>501</v>
      </c>
      <c r="I46" s="368"/>
      <c r="J46" s="105"/>
      <c r="K46" s="105"/>
      <c r="L46" s="105"/>
      <c r="M46" s="105"/>
      <c r="N46" s="105"/>
    </row>
    <row r="47" ht="24" customHeight="1">
      <c r="A47" s="363"/>
      <c r="B47" s="379">
        <v>9</v>
      </c>
      <c r="C47" t="s" s="376">
        <v>93</v>
      </c>
      <c r="D47" t="s" s="376">
        <v>83</v>
      </c>
      <c r="E47" t="s" s="376">
        <v>502</v>
      </c>
      <c r="F47" t="s" s="376">
        <v>469</v>
      </c>
      <c r="G47" t="s" s="376">
        <v>497</v>
      </c>
      <c r="H47" t="s" s="376">
        <v>503</v>
      </c>
      <c r="I47" s="368"/>
      <c r="J47" s="105"/>
      <c r="K47" s="105"/>
      <c r="L47" s="105"/>
      <c r="M47" s="105"/>
      <c r="N47" s="105"/>
    </row>
    <row r="48" ht="24" customHeight="1">
      <c r="A48" s="363"/>
      <c r="B48" s="377">
        <v>10</v>
      </c>
      <c r="C48" t="s" s="378">
        <v>101</v>
      </c>
      <c r="D48" t="s" s="378">
        <v>504</v>
      </c>
      <c r="E48" t="s" s="378">
        <v>165</v>
      </c>
      <c r="F48" t="s" s="378">
        <v>469</v>
      </c>
      <c r="G48" t="s" s="378">
        <v>490</v>
      </c>
      <c r="H48" t="s" s="378">
        <v>505</v>
      </c>
      <c r="I48" s="368"/>
      <c r="J48" s="105"/>
      <c r="K48" s="105"/>
      <c r="L48" s="105"/>
      <c r="M48" s="105"/>
      <c r="N48" s="105"/>
    </row>
    <row r="49" ht="24" customHeight="1">
      <c r="A49" s="363"/>
      <c r="B49" s="377">
        <v>11</v>
      </c>
      <c r="C49" t="s" s="378">
        <v>98</v>
      </c>
      <c r="D49" t="s" s="378">
        <v>87</v>
      </c>
      <c r="E49" t="s" s="378">
        <v>137</v>
      </c>
      <c r="F49" t="s" s="378">
        <v>506</v>
      </c>
      <c r="G49" t="s" s="378">
        <v>219</v>
      </c>
      <c r="H49" t="s" s="378">
        <v>507</v>
      </c>
      <c r="I49" s="368"/>
      <c r="J49" s="105"/>
      <c r="K49" s="105"/>
      <c r="L49" s="105"/>
      <c r="M49" s="105"/>
      <c r="N49" s="105"/>
    </row>
    <row r="50" ht="24" customHeight="1">
      <c r="A50" s="363"/>
      <c r="B50" s="377">
        <v>12</v>
      </c>
      <c r="C50" t="s" s="378">
        <v>99</v>
      </c>
      <c r="D50" t="s" s="378">
        <v>100</v>
      </c>
      <c r="E50" t="s" s="378">
        <v>508</v>
      </c>
      <c r="F50" t="s" s="378">
        <v>469</v>
      </c>
      <c r="G50" t="s" s="378">
        <v>497</v>
      </c>
      <c r="H50" t="s" s="378">
        <v>509</v>
      </c>
      <c r="I50" s="368"/>
      <c r="J50" s="105"/>
      <c r="K50" s="105"/>
      <c r="L50" s="105"/>
      <c r="M50" s="105"/>
      <c r="N50" s="105"/>
    </row>
    <row r="51" ht="24" customHeight="1">
      <c r="A51" s="363"/>
      <c r="B51" s="377">
        <v>13</v>
      </c>
      <c r="C51" t="s" s="378">
        <v>103</v>
      </c>
      <c r="D51" t="s" s="378">
        <v>510</v>
      </c>
      <c r="E51" t="s" s="378">
        <v>168</v>
      </c>
      <c r="F51" t="s" s="378">
        <v>511</v>
      </c>
      <c r="G51" t="s" s="378">
        <v>497</v>
      </c>
      <c r="H51" t="s" s="378">
        <v>512</v>
      </c>
      <c r="I51" s="368"/>
      <c r="J51" s="105"/>
      <c r="K51" s="105"/>
      <c r="L51" s="105"/>
      <c r="M51" s="105"/>
      <c r="N51" s="105"/>
    </row>
    <row r="52" ht="24" customHeight="1">
      <c r="A52" s="363"/>
      <c r="B52" s="379">
        <v>14</v>
      </c>
      <c r="C52" t="s" s="376">
        <v>104</v>
      </c>
      <c r="D52" t="s" s="376">
        <v>83</v>
      </c>
      <c r="E52" t="s" s="376">
        <v>171</v>
      </c>
      <c r="F52" t="s" s="376">
        <v>511</v>
      </c>
      <c r="G52" t="s" s="376">
        <v>490</v>
      </c>
      <c r="H52" t="s" s="376">
        <v>513</v>
      </c>
      <c r="I52" s="368"/>
      <c r="J52" s="105"/>
      <c r="K52" s="105"/>
      <c r="L52" s="105"/>
      <c r="M52" s="105"/>
      <c r="N52" s="105"/>
    </row>
    <row r="53" ht="24" customHeight="1">
      <c r="A53" s="363"/>
      <c r="B53" s="377">
        <v>15</v>
      </c>
      <c r="C53" t="s" s="378">
        <v>109</v>
      </c>
      <c r="D53" t="s" s="378">
        <v>514</v>
      </c>
      <c r="E53" t="s" s="378">
        <v>134</v>
      </c>
      <c r="F53" t="s" s="378">
        <v>392</v>
      </c>
      <c r="G53" t="s" s="378">
        <v>219</v>
      </c>
      <c r="H53" t="s" s="378">
        <v>515</v>
      </c>
      <c r="I53" s="368"/>
      <c r="J53" s="105"/>
      <c r="K53" s="105"/>
      <c r="L53" s="105"/>
      <c r="M53" s="105"/>
      <c r="N53" s="105"/>
    </row>
    <row r="54" ht="24" customHeight="1">
      <c r="A54" s="363"/>
      <c r="B54" s="379">
        <v>16</v>
      </c>
      <c r="C54" t="s" s="376">
        <v>112</v>
      </c>
      <c r="D54" t="s" s="376">
        <v>516</v>
      </c>
      <c r="E54" t="s" s="376">
        <v>171</v>
      </c>
      <c r="F54" t="s" s="376">
        <v>511</v>
      </c>
      <c r="G54" t="s" s="376">
        <v>497</v>
      </c>
      <c r="H54" t="s" s="376">
        <v>517</v>
      </c>
      <c r="I54" s="368"/>
      <c r="J54" s="105"/>
      <c r="K54" s="105"/>
      <c r="L54" s="105"/>
      <c r="M54" s="105"/>
      <c r="N54" s="105"/>
    </row>
    <row r="55" ht="24" customHeight="1">
      <c r="A55" s="363"/>
      <c r="B55" s="380">
        <v>17</v>
      </c>
      <c r="C55" t="s" s="381">
        <v>117</v>
      </c>
      <c r="D55" t="s" s="381">
        <v>518</v>
      </c>
      <c r="E55" t="s" s="381">
        <v>519</v>
      </c>
      <c r="F55" t="s" s="381">
        <v>520</v>
      </c>
      <c r="G55" t="s" s="381">
        <v>497</v>
      </c>
      <c r="H55" t="s" s="381">
        <v>521</v>
      </c>
      <c r="I55" s="368"/>
      <c r="J55" s="105"/>
      <c r="K55" s="105"/>
      <c r="L55" s="105"/>
      <c r="M55" s="105"/>
      <c r="N55" s="105"/>
    </row>
    <row r="56" ht="24" customHeight="1">
      <c r="A56" s="363"/>
      <c r="B56" s="380">
        <v>18</v>
      </c>
      <c r="C56" t="s" s="381">
        <v>115</v>
      </c>
      <c r="D56" t="s" s="381">
        <v>522</v>
      </c>
      <c r="E56" t="s" s="381">
        <v>523</v>
      </c>
      <c r="F56" t="s" s="381">
        <v>520</v>
      </c>
      <c r="G56" t="s" s="381">
        <v>497</v>
      </c>
      <c r="H56" t="s" s="381">
        <v>524</v>
      </c>
      <c r="I56" s="368"/>
      <c r="J56" s="105"/>
      <c r="K56" s="105"/>
      <c r="L56" s="105"/>
      <c r="M56" s="105"/>
      <c r="N56" s="105"/>
    </row>
    <row r="57" ht="24" customHeight="1">
      <c r="A57" s="363"/>
      <c r="B57" s="382">
        <v>19</v>
      </c>
      <c r="C57" t="s" s="383">
        <v>84</v>
      </c>
      <c r="D57" t="s" s="383">
        <v>525</v>
      </c>
      <c r="E57" t="s" s="383">
        <v>526</v>
      </c>
      <c r="F57" t="s" s="383">
        <v>392</v>
      </c>
      <c r="G57" t="s" s="383">
        <v>527</v>
      </c>
      <c r="H57" t="s" s="383">
        <v>528</v>
      </c>
      <c r="I57" s="368"/>
      <c r="J57" s="105"/>
      <c r="K57" s="105"/>
      <c r="L57" s="105"/>
      <c r="M57" s="105"/>
      <c r="N57" s="105"/>
    </row>
    <row r="58" ht="24" customHeight="1">
      <c r="A58" s="363"/>
      <c r="B58" s="384">
        <v>20</v>
      </c>
      <c r="C58" t="s" s="385">
        <v>118</v>
      </c>
      <c r="D58" t="s" s="385">
        <v>529</v>
      </c>
      <c r="E58" t="s" s="385">
        <v>198</v>
      </c>
      <c r="F58" t="s" s="385">
        <v>530</v>
      </c>
      <c r="G58" t="s" s="385">
        <v>531</v>
      </c>
      <c r="H58" t="s" s="385">
        <v>532</v>
      </c>
      <c r="I58" s="368"/>
      <c r="J58" s="105"/>
      <c r="K58" s="105"/>
      <c r="L58" s="105"/>
      <c r="M58" s="105"/>
      <c r="N58" s="105"/>
    </row>
    <row r="59" ht="13.55" customHeight="1">
      <c r="A59" s="105"/>
      <c r="B59" s="371"/>
      <c r="C59" s="371"/>
      <c r="D59" s="371"/>
      <c r="E59" s="371"/>
      <c r="F59" s="371"/>
      <c r="G59" s="371"/>
      <c r="H59" s="371"/>
      <c r="I59" s="372"/>
      <c r="J59" s="372"/>
      <c r="K59" s="372"/>
      <c r="L59" s="372"/>
      <c r="M59" s="372"/>
      <c r="N59" s="372"/>
    </row>
    <row r="60" ht="18" customHeight="1">
      <c r="A60" s="98"/>
      <c r="B60" t="s" s="359">
        <v>533</v>
      </c>
      <c r="C60" s="360"/>
      <c r="D60" s="360"/>
      <c r="E60" s="360"/>
      <c r="F60" s="360"/>
      <c r="G60" s="361"/>
      <c r="H60" s="361"/>
      <c r="I60" s="361"/>
      <c r="J60" s="361"/>
      <c r="K60" s="361"/>
      <c r="L60" s="361"/>
      <c r="M60" s="361"/>
      <c r="N60" s="362"/>
    </row>
    <row r="61" ht="24" customHeight="1">
      <c r="A61" s="363"/>
      <c r="B61" t="s" s="364">
        <v>282</v>
      </c>
      <c r="C61" t="s" s="364">
        <v>362</v>
      </c>
      <c r="D61" t="s" s="364">
        <v>363</v>
      </c>
      <c r="E61" t="s" s="364">
        <v>402</v>
      </c>
      <c r="F61" t="s" s="364">
        <v>367</v>
      </c>
      <c r="G61" s="365"/>
      <c r="H61" s="366"/>
      <c r="I61" s="366"/>
      <c r="J61" s="366"/>
      <c r="K61" s="366"/>
      <c r="L61" s="366"/>
      <c r="M61" s="366"/>
      <c r="N61" s="366"/>
    </row>
    <row r="62" ht="24" customHeight="1">
      <c r="A62" s="363"/>
      <c r="B62" t="s" s="369">
        <v>116</v>
      </c>
      <c r="C62" t="s" s="369">
        <v>534</v>
      </c>
      <c r="D62" t="s" s="369">
        <v>535</v>
      </c>
      <c r="E62" t="s" s="369">
        <v>536</v>
      </c>
      <c r="F62" t="s" s="369">
        <v>537</v>
      </c>
      <c r="G62" s="368"/>
      <c r="H62" s="105"/>
      <c r="I62" s="105"/>
      <c r="J62" s="105"/>
      <c r="K62" s="105"/>
      <c r="L62" s="105"/>
      <c r="M62" s="105"/>
      <c r="N62" s="105"/>
    </row>
    <row r="63" ht="24" customHeight="1">
      <c r="A63" s="363"/>
      <c r="B63" t="s" s="370">
        <v>114</v>
      </c>
      <c r="C63" t="s" s="370">
        <v>538</v>
      </c>
      <c r="D63" t="s" s="370">
        <v>539</v>
      </c>
      <c r="E63" t="s" s="370">
        <v>540</v>
      </c>
      <c r="F63" t="s" s="370">
        <v>541</v>
      </c>
      <c r="G63" s="368"/>
      <c r="H63" s="105"/>
      <c r="I63" s="105"/>
      <c r="J63" s="105"/>
      <c r="K63" s="105"/>
      <c r="L63" s="105"/>
      <c r="M63" s="105"/>
      <c r="N63" s="105"/>
    </row>
    <row r="64" ht="24" customHeight="1">
      <c r="A64" s="363"/>
      <c r="B64" t="s" s="369">
        <v>106</v>
      </c>
      <c r="C64" t="s" s="369">
        <v>374</v>
      </c>
      <c r="D64" t="s" s="369">
        <v>542</v>
      </c>
      <c r="E64" t="s" s="369">
        <v>543</v>
      </c>
      <c r="F64" t="s" s="369">
        <v>544</v>
      </c>
      <c r="G64" s="368"/>
      <c r="H64" s="105"/>
      <c r="I64" s="105"/>
      <c r="J64" s="105"/>
      <c r="K64" s="105"/>
      <c r="L64" s="105"/>
      <c r="M64" s="105"/>
      <c r="N64" s="105"/>
    </row>
    <row r="65" ht="24" customHeight="1">
      <c r="A65" s="363"/>
      <c r="B65" t="s" s="370">
        <v>82</v>
      </c>
      <c r="C65" t="s" s="370">
        <v>545</v>
      </c>
      <c r="D65" t="s" s="370">
        <v>546</v>
      </c>
      <c r="E65" t="s" s="370">
        <v>547</v>
      </c>
      <c r="F65" t="s" s="370">
        <v>548</v>
      </c>
      <c r="G65" s="368"/>
      <c r="H65" s="105"/>
      <c r="I65" s="105"/>
      <c r="J65" s="105"/>
      <c r="K65" s="105"/>
      <c r="L65" s="105"/>
      <c r="M65" s="105"/>
      <c r="N65" s="105"/>
    </row>
    <row r="66" ht="13.55" customHeight="1">
      <c r="A66" s="105"/>
      <c r="B66" s="371"/>
      <c r="C66" s="371"/>
      <c r="D66" s="371"/>
      <c r="E66" s="371"/>
      <c r="F66" s="371"/>
      <c r="G66" s="372"/>
      <c r="H66" s="372"/>
      <c r="I66" s="372"/>
      <c r="J66" s="372"/>
      <c r="K66" s="372"/>
      <c r="L66" s="372"/>
      <c r="M66" s="372"/>
      <c r="N66" s="372"/>
    </row>
    <row r="67" ht="15" customHeight="1">
      <c r="A67" s="98"/>
      <c r="B67" t="s" s="386">
        <v>549</v>
      </c>
      <c r="C67" s="387"/>
      <c r="D67" s="387"/>
      <c r="E67" s="387"/>
      <c r="F67" s="387"/>
      <c r="G67" s="387"/>
      <c r="H67" s="387"/>
      <c r="I67" s="387"/>
      <c r="J67" s="387"/>
      <c r="K67" s="387"/>
      <c r="L67" s="387"/>
      <c r="M67" s="387"/>
      <c r="N67" s="388"/>
    </row>
  </sheetData>
  <mergeCells count="9">
    <mergeCell ref="B1:N1"/>
    <mergeCell ref="B2:N2"/>
    <mergeCell ref="B4:N4"/>
    <mergeCell ref="B10:N10"/>
    <mergeCell ref="B15:N15"/>
    <mergeCell ref="B30:N30"/>
    <mergeCell ref="B37:N37"/>
    <mergeCell ref="B60:N60"/>
    <mergeCell ref="B67:N67"/>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F15"/>
  <sheetViews>
    <sheetView workbookViewId="0" showGridLines="0" defaultGridColor="1"/>
  </sheetViews>
  <sheetFormatPr defaultColWidth="8.66667" defaultRowHeight="15" customHeight="1" outlineLevelRow="0" outlineLevelCol="0"/>
  <cols>
    <col min="1" max="1" width="2" style="389" customWidth="1"/>
    <col min="2" max="2" width="13" style="389" customWidth="1"/>
    <col min="3" max="3" width="24" style="389" customWidth="1"/>
    <col min="4" max="4" width="26" style="389" customWidth="1"/>
    <col min="5" max="5" width="50" style="389" customWidth="1"/>
    <col min="6" max="6" width="12" style="389" customWidth="1"/>
    <col min="7" max="16384" width="8.67188" style="389" customWidth="1"/>
  </cols>
  <sheetData>
    <row r="1" ht="30" customHeight="1">
      <c r="A1" s="2"/>
      <c r="B1" t="s" s="247">
        <v>550</v>
      </c>
      <c r="C1" s="248"/>
      <c r="D1" s="248"/>
      <c r="E1" s="248"/>
      <c r="F1" s="248"/>
    </row>
    <row r="2" ht="15" customHeight="1">
      <c r="A2" s="12"/>
      <c r="B2" s="300"/>
      <c r="C2" s="300"/>
      <c r="D2" s="300"/>
      <c r="E2" s="300"/>
      <c r="F2" s="301"/>
    </row>
    <row r="3" ht="18" customHeight="1">
      <c r="A3" s="7"/>
      <c r="B3" t="s" s="259">
        <v>206</v>
      </c>
      <c r="C3" t="s" s="259">
        <v>551</v>
      </c>
      <c r="D3" t="s" s="259">
        <v>552</v>
      </c>
      <c r="E3" t="s" s="259">
        <v>553</v>
      </c>
      <c r="F3" t="s" s="259">
        <v>554</v>
      </c>
    </row>
    <row r="4" ht="18" customHeight="1">
      <c r="A4" s="7"/>
      <c r="B4" t="s" s="390">
        <v>77</v>
      </c>
      <c r="C4" t="s" s="390">
        <v>78</v>
      </c>
      <c r="D4" t="s" s="390">
        <v>555</v>
      </c>
      <c r="E4" t="s" s="391">
        <v>556</v>
      </c>
      <c r="F4" t="s" s="392">
        <v>497</v>
      </c>
    </row>
    <row r="5" ht="18" customHeight="1">
      <c r="A5" s="7"/>
      <c r="B5" t="s" s="393">
        <v>77</v>
      </c>
      <c r="C5" t="s" s="393">
        <v>78</v>
      </c>
      <c r="D5" t="s" s="393">
        <v>557</v>
      </c>
      <c r="E5" t="s" s="394">
        <v>558</v>
      </c>
      <c r="F5" t="s" s="395">
        <v>404</v>
      </c>
    </row>
    <row r="6" ht="18" customHeight="1">
      <c r="A6" s="7"/>
      <c r="B6" t="s" s="396">
        <v>101</v>
      </c>
      <c r="C6" t="s" s="396">
        <v>102</v>
      </c>
      <c r="D6" t="s" s="396">
        <v>559</v>
      </c>
      <c r="E6" t="s" s="397">
        <v>560</v>
      </c>
      <c r="F6" t="s" s="398">
        <v>527</v>
      </c>
    </row>
    <row r="7" ht="18" customHeight="1">
      <c r="A7" s="7"/>
      <c r="B7" t="s" s="396">
        <v>104</v>
      </c>
      <c r="C7" t="s" s="396">
        <v>83</v>
      </c>
      <c r="D7" t="s" s="396">
        <v>559</v>
      </c>
      <c r="E7" t="s" s="397">
        <v>561</v>
      </c>
      <c r="F7" t="s" s="398">
        <v>527</v>
      </c>
    </row>
    <row r="8" ht="18" customHeight="1">
      <c r="A8" s="7"/>
      <c r="B8" t="s" s="396">
        <v>106</v>
      </c>
      <c r="C8" t="s" s="396">
        <v>107</v>
      </c>
      <c r="D8" t="s" s="396">
        <v>559</v>
      </c>
      <c r="E8" t="s" s="397">
        <v>562</v>
      </c>
      <c r="F8" t="s" s="398">
        <v>527</v>
      </c>
    </row>
    <row r="9" ht="18" customHeight="1">
      <c r="A9" s="7"/>
      <c r="B9" t="s" s="390">
        <v>110</v>
      </c>
      <c r="C9" t="s" s="390">
        <v>111</v>
      </c>
      <c r="D9" t="s" s="390">
        <v>563</v>
      </c>
      <c r="E9" t="s" s="391">
        <v>564</v>
      </c>
      <c r="F9" t="s" s="392">
        <v>497</v>
      </c>
    </row>
    <row r="10" ht="18" customHeight="1">
      <c r="A10" s="7"/>
      <c r="B10" t="s" s="390">
        <v>112</v>
      </c>
      <c r="C10" t="s" s="390">
        <v>113</v>
      </c>
      <c r="D10" t="s" s="390">
        <v>565</v>
      </c>
      <c r="E10" t="s" s="391">
        <v>566</v>
      </c>
      <c r="F10" t="s" s="392">
        <v>527</v>
      </c>
    </row>
    <row r="11" ht="18" customHeight="1">
      <c r="A11" s="7"/>
      <c r="B11" t="s" s="396">
        <v>115</v>
      </c>
      <c r="C11" t="s" s="396">
        <v>111</v>
      </c>
      <c r="D11" t="s" s="396">
        <v>559</v>
      </c>
      <c r="E11" t="s" s="397">
        <v>567</v>
      </c>
      <c r="F11" t="s" s="398">
        <v>527</v>
      </c>
    </row>
    <row r="12" ht="18" customHeight="1">
      <c r="A12" s="7"/>
      <c r="B12" t="s" s="399">
        <v>14</v>
      </c>
      <c r="C12" t="s" s="399">
        <v>568</v>
      </c>
      <c r="D12" t="s" s="399">
        <v>569</v>
      </c>
      <c r="E12" t="s" s="400">
        <v>570</v>
      </c>
      <c r="F12" t="s" s="401">
        <v>404</v>
      </c>
    </row>
    <row r="13" ht="15" customHeight="1">
      <c r="A13" s="12"/>
      <c r="B13" s="13"/>
      <c r="C13" s="13"/>
      <c r="D13" s="13"/>
      <c r="E13" s="13"/>
      <c r="F13" s="249"/>
    </row>
    <row r="14" ht="15" customHeight="1">
      <c r="A14" s="12"/>
      <c r="B14" s="14"/>
      <c r="C14" s="14"/>
      <c r="D14" s="14"/>
      <c r="E14" s="14"/>
      <c r="F14" s="11"/>
    </row>
    <row r="15" ht="15" customHeight="1">
      <c r="A15" s="402"/>
      <c r="B15" t="s" s="403">
        <v>571</v>
      </c>
      <c r="C15" s="404"/>
      <c r="D15" s="404"/>
      <c r="E15" s="404"/>
      <c r="F15" s="405"/>
    </row>
  </sheetData>
  <mergeCells count="2">
    <mergeCell ref="B1:F1"/>
    <mergeCell ref="B15:F15"/>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P45"/>
  <sheetViews>
    <sheetView workbookViewId="0" showGridLines="0" defaultGridColor="1"/>
  </sheetViews>
  <sheetFormatPr defaultColWidth="8.66667" defaultRowHeight="15" customHeight="1" outlineLevelRow="0" outlineLevelCol="0"/>
  <cols>
    <col min="1" max="1" width="2" style="406" customWidth="1"/>
    <col min="2" max="2" width="13" style="406" customWidth="1"/>
    <col min="3" max="3" width="22" style="406" customWidth="1"/>
    <col min="4" max="4" width="7" style="406" customWidth="1"/>
    <col min="5" max="6" width="9" style="406" customWidth="1"/>
    <col min="7" max="9" width="12" style="406" customWidth="1"/>
    <col min="10" max="10" width="11" style="406" customWidth="1"/>
    <col min="11" max="11" width="12" style="406" customWidth="1"/>
    <col min="12" max="12" width="13" style="406" customWidth="1"/>
    <col min="13" max="15" width="12" style="406" customWidth="1"/>
    <col min="16" max="16" width="13" style="406" customWidth="1"/>
    <col min="17" max="16384" width="8.67188" style="406" customWidth="1"/>
  </cols>
  <sheetData>
    <row r="1" ht="30" customHeight="1">
      <c r="A1" s="2"/>
      <c r="B1" t="s" s="407">
        <v>572</v>
      </c>
      <c r="C1" s="408"/>
      <c r="D1" s="408"/>
      <c r="E1" s="408"/>
      <c r="F1" s="408"/>
      <c r="G1" s="408"/>
      <c r="H1" s="408"/>
      <c r="I1" s="408"/>
      <c r="J1" s="408"/>
      <c r="K1" s="408"/>
      <c r="L1" s="408"/>
      <c r="M1" s="408"/>
      <c r="N1" s="408"/>
      <c r="O1" s="408"/>
      <c r="P1" s="408"/>
    </row>
    <row r="2" ht="13.5" customHeight="1">
      <c r="A2" s="7"/>
      <c r="B2" t="s" s="8">
        <v>573</v>
      </c>
      <c r="C2" s="9"/>
      <c r="D2" s="9"/>
      <c r="E2" s="9"/>
      <c r="F2" s="9"/>
      <c r="G2" s="9"/>
      <c r="H2" s="9"/>
      <c r="I2" s="9"/>
      <c r="J2" s="9"/>
      <c r="K2" s="9"/>
      <c r="L2" s="9"/>
      <c r="M2" s="9"/>
      <c r="N2" s="9"/>
      <c r="O2" s="9"/>
      <c r="P2" s="9"/>
    </row>
    <row r="3" ht="15" customHeight="1">
      <c r="A3" s="12"/>
      <c r="B3" s="300"/>
      <c r="C3" s="300"/>
      <c r="D3" s="300"/>
      <c r="E3" s="300"/>
      <c r="F3" s="300"/>
      <c r="G3" s="300"/>
      <c r="H3" s="300"/>
      <c r="I3" s="300"/>
      <c r="J3" s="13"/>
      <c r="K3" s="13"/>
      <c r="L3" s="13"/>
      <c r="M3" s="13"/>
      <c r="N3" s="13"/>
      <c r="O3" s="13"/>
      <c r="P3" s="249"/>
    </row>
    <row r="4" ht="27.75" customHeight="1">
      <c r="A4" s="7"/>
      <c r="B4" t="s" s="259">
        <v>574</v>
      </c>
      <c r="C4" t="s" s="259">
        <v>575</v>
      </c>
      <c r="D4" t="s" s="259">
        <v>576</v>
      </c>
      <c r="E4" t="s" s="259">
        <v>577</v>
      </c>
      <c r="F4" t="s" s="259">
        <v>578</v>
      </c>
      <c r="G4" t="s" s="259">
        <v>579</v>
      </c>
      <c r="H4" t="s" s="259">
        <v>580</v>
      </c>
      <c r="I4" t="s" s="259">
        <v>581</v>
      </c>
      <c r="J4" s="10"/>
      <c r="K4" s="14"/>
      <c r="L4" s="14"/>
      <c r="M4" s="14"/>
      <c r="N4" s="14"/>
      <c r="O4" s="14"/>
      <c r="P4" s="11"/>
    </row>
    <row r="5" ht="18" customHeight="1">
      <c r="A5" s="7"/>
      <c r="B5" t="s" s="409">
        <v>582</v>
      </c>
      <c r="C5" t="s" s="410">
        <v>583</v>
      </c>
      <c r="D5" s="411" cm="1">
        <f t="array" ref="D5">SUM(H14:H42)</f>
        <v>8095859.088</v>
      </c>
      <c r="E5" s="266" cm="1">
        <f t="array" ref="E5">D5-'📊 Portfolio Brief'!$G$40</f>
        <v>-694146.5061999999</v>
      </c>
      <c r="F5" s="267" cm="1">
        <f t="array" ref="F5">E5/'📊 Portfolio Brief'!$G$40</f>
        <v>-0.0789699731997925</v>
      </c>
      <c r="G5" s="266" cm="1">
        <f t="array" ref="G5">D5-D7</f>
        <v>-2023964.772</v>
      </c>
      <c r="H5" s="412">
        <v>0</v>
      </c>
      <c r="I5" s="412">
        <v>8095903.088</v>
      </c>
      <c r="J5" s="10"/>
      <c r="K5" s="14"/>
      <c r="L5" s="14"/>
      <c r="M5" s="14"/>
      <c r="N5" s="14"/>
      <c r="O5" s="14"/>
      <c r="P5" s="11"/>
    </row>
    <row r="6" ht="18" customHeight="1">
      <c r="A6" s="7"/>
      <c r="B6" t="s" s="413">
        <v>584</v>
      </c>
      <c r="C6" t="s" s="414">
        <v>585</v>
      </c>
      <c r="D6" s="415" cm="1">
        <f t="array" ref="D6">SUM(I14:I42)</f>
        <v>9107841.473999999</v>
      </c>
      <c r="E6" s="266" cm="1">
        <f t="array" ref="E6">D6-'📊 Portfolio Brief'!$G$40</f>
        <v>317835.8798</v>
      </c>
      <c r="F6" s="267" cm="1">
        <f t="array" ref="F6">E6/'📊 Portfolio Brief'!$G$40</f>
        <v>0.0361587801502335</v>
      </c>
      <c r="G6" s="266" cm="1">
        <f t="array" ref="G6">D6-D7</f>
        <v>-1011982.386</v>
      </c>
      <c r="H6" s="416">
        <v>12945.8867875</v>
      </c>
      <c r="I6" s="416">
        <v>9094945.087212499</v>
      </c>
      <c r="J6" s="10"/>
      <c r="K6" s="14"/>
      <c r="L6" s="14"/>
      <c r="M6" s="14"/>
      <c r="N6" s="14"/>
      <c r="O6" s="14"/>
      <c r="P6" s="11"/>
    </row>
    <row r="7" ht="18" customHeight="1">
      <c r="A7" s="7"/>
      <c r="B7" t="s" s="417">
        <v>586</v>
      </c>
      <c r="C7" t="s" s="418">
        <v>587</v>
      </c>
      <c r="D7" s="419" cm="1">
        <f t="array" ref="D7">SUM(J14:J42)</f>
        <v>10119823.86</v>
      </c>
      <c r="E7" s="266" cm="1">
        <f t="array" ref="E7">D7-'📊 Portfolio Brief'!$G$40</f>
        <v>1329818.2658</v>
      </c>
      <c r="F7" s="267" cm="1">
        <f t="array" ref="F7">E7/'📊 Portfolio Brief'!$G$40</f>
        <v>0.151287533500259</v>
      </c>
      <c r="G7" s="266" cm="1">
        <f t="array" ref="G7">D7-D7</f>
        <v>0</v>
      </c>
      <c r="H7" s="420">
        <v>45361.4636625</v>
      </c>
      <c r="I7" s="420">
        <v>10074517.3963375</v>
      </c>
      <c r="J7" s="10"/>
      <c r="K7" s="14"/>
      <c r="L7" s="14"/>
      <c r="M7" s="14"/>
      <c r="N7" s="14"/>
      <c r="O7" s="14"/>
      <c r="P7" s="11"/>
    </row>
    <row r="8" ht="18" customHeight="1">
      <c r="A8" s="7"/>
      <c r="B8" t="s" s="421">
        <v>588</v>
      </c>
      <c r="C8" t="s" s="422">
        <v>539</v>
      </c>
      <c r="D8" s="423" cm="1">
        <f t="array" ref="D8">SUM(K14:K42)</f>
        <v>11637797.439</v>
      </c>
      <c r="E8" s="266" cm="1">
        <f t="array" ref="E8">D8-'📊 Portfolio Brief'!$G$40</f>
        <v>2847791.8448</v>
      </c>
      <c r="F8" s="267" cm="1">
        <f t="array" ref="F8">E8/'📊 Portfolio Brief'!$G$40</f>
        <v>0.323980663525298</v>
      </c>
      <c r="G8" s="266" cm="1">
        <f t="array" ref="G8">D8-D7</f>
        <v>1517973.579</v>
      </c>
      <c r="H8" s="424">
        <v>100286.6285875</v>
      </c>
      <c r="I8" s="424">
        <v>11537574.0604125</v>
      </c>
      <c r="J8" s="10"/>
      <c r="K8" s="14"/>
      <c r="L8" s="14"/>
      <c r="M8" s="14"/>
      <c r="N8" s="14"/>
      <c r="O8" s="14"/>
      <c r="P8" s="11"/>
    </row>
    <row r="9" ht="18" customHeight="1">
      <c r="A9" s="7"/>
      <c r="B9" t="s" s="421">
        <v>589</v>
      </c>
      <c r="C9" t="s" s="425">
        <v>546</v>
      </c>
      <c r="D9" s="426" cm="1">
        <f t="array" ref="D9">SUM(L14:L42)</f>
        <v>13155771.018</v>
      </c>
      <c r="E9" s="266" cm="1">
        <f t="array" ref="E9">D9-'📊 Portfolio Brief'!$G$40</f>
        <v>4365765.4238</v>
      </c>
      <c r="F9" s="267" cm="1">
        <f t="array" ref="F9">E9/'📊 Portfolio Brief'!$G$40</f>
        <v>0.496673793550337</v>
      </c>
      <c r="G9" s="266" cm="1">
        <f t="array" ref="G9">D9-D7</f>
        <v>3035947.158</v>
      </c>
      <c r="H9" s="427">
        <v>160097.543275</v>
      </c>
      <c r="I9" s="427">
        <v>12995744.974725</v>
      </c>
      <c r="J9" s="10"/>
      <c r="K9" s="14"/>
      <c r="L9" s="14"/>
      <c r="M9" s="14"/>
      <c r="N9" s="14"/>
      <c r="O9" s="14"/>
      <c r="P9" s="11"/>
    </row>
    <row r="10" ht="15" customHeight="1">
      <c r="A10" s="12"/>
      <c r="B10" s="13"/>
      <c r="C10" s="13"/>
      <c r="D10" s="13"/>
      <c r="E10" s="13"/>
      <c r="F10" s="13"/>
      <c r="G10" s="13"/>
      <c r="H10" s="13"/>
      <c r="I10" s="13"/>
      <c r="J10" s="14"/>
      <c r="K10" s="14"/>
      <c r="L10" s="14"/>
      <c r="M10" s="14"/>
      <c r="N10" s="14"/>
      <c r="O10" s="14"/>
      <c r="P10" s="11"/>
    </row>
    <row r="11" ht="9.75" customHeight="1">
      <c r="A11" s="12"/>
      <c r="B11" s="255"/>
      <c r="C11" s="255"/>
      <c r="D11" s="255"/>
      <c r="E11" s="255"/>
      <c r="F11" s="255"/>
      <c r="G11" s="255"/>
      <c r="H11" s="255"/>
      <c r="I11" s="255"/>
      <c r="J11" s="255"/>
      <c r="K11" s="255"/>
      <c r="L11" s="255"/>
      <c r="M11" s="255"/>
      <c r="N11" s="255"/>
      <c r="O11" s="255"/>
      <c r="P11" s="256"/>
    </row>
    <row r="12" ht="19.5" customHeight="1">
      <c r="A12" s="7"/>
      <c r="B12" t="s" s="257">
        <v>590</v>
      </c>
      <c r="C12" s="258"/>
      <c r="D12" s="258"/>
      <c r="E12" s="258"/>
      <c r="F12" s="258"/>
      <c r="G12" s="258"/>
      <c r="H12" s="258"/>
      <c r="I12" s="258"/>
      <c r="J12" s="258"/>
      <c r="K12" s="258"/>
      <c r="L12" s="258"/>
      <c r="M12" s="258"/>
      <c r="N12" s="258"/>
      <c r="O12" s="258"/>
      <c r="P12" s="258"/>
    </row>
    <row r="13" ht="27.75" customHeight="1">
      <c r="A13" s="7"/>
      <c r="B13" t="s" s="428">
        <v>206</v>
      </c>
      <c r="C13" t="s" s="428">
        <v>551</v>
      </c>
      <c r="D13" t="s" s="428">
        <v>591</v>
      </c>
      <c r="E13" t="s" s="428">
        <v>209</v>
      </c>
      <c r="F13" t="s" s="428">
        <v>210</v>
      </c>
      <c r="G13" t="s" s="428">
        <v>592</v>
      </c>
      <c r="H13" t="s" s="428">
        <v>593</v>
      </c>
      <c r="I13" t="s" s="428">
        <v>594</v>
      </c>
      <c r="J13" t="s" s="428">
        <v>595</v>
      </c>
      <c r="K13" t="s" s="428">
        <v>596</v>
      </c>
      <c r="L13" t="s" s="428">
        <v>597</v>
      </c>
      <c r="M13" t="s" s="428">
        <v>598</v>
      </c>
      <c r="N13" t="s" s="428">
        <v>599</v>
      </c>
      <c r="O13" t="s" s="428">
        <v>600</v>
      </c>
      <c r="P13" t="s" s="428">
        <v>601</v>
      </c>
    </row>
    <row r="14" ht="15" customHeight="1">
      <c r="A14" s="7"/>
      <c r="B14" t="s" s="260">
        <v>77</v>
      </c>
      <c r="C14" t="s" s="260">
        <v>78</v>
      </c>
      <c r="D14" s="264">
        <v>8000</v>
      </c>
      <c r="E14" s="262">
        <v>84.4748</v>
      </c>
      <c r="F14" s="429" cm="1">
        <f t="array" ref="F14">_xlfn.IFERROR(VLOOKUP(B14,'📥 Price Hub'!$B$5:$H$34,7,0),0)</f>
        <v>138.3</v>
      </c>
      <c r="G14" s="430" cm="1">
        <f t="array" ref="G14">D14*F14</f>
        <v>1106400</v>
      </c>
      <c r="H14" s="430" cm="1">
        <f t="array" ref="H14">G14*0.8</f>
        <v>885120</v>
      </c>
      <c r="I14" s="430" cm="1">
        <f t="array" ref="I14">G14*0.9</f>
        <v>995760</v>
      </c>
      <c r="J14" s="430" cm="1">
        <f t="array" ref="J14">G14</f>
        <v>1106400</v>
      </c>
      <c r="K14" s="430" cm="1">
        <f t="array" ref="K14">G14*1.15</f>
        <v>1272360</v>
      </c>
      <c r="L14" s="430" cm="1">
        <f t="array" ref="L14">G14*1.3</f>
        <v>1438320</v>
      </c>
      <c r="M14" s="266" cm="1">
        <f t="array" ref="M14">H14-E14*D14</f>
        <v>209321.6</v>
      </c>
      <c r="N14" s="266" cm="1">
        <f t="array" ref="N14">J14-E14*D14</f>
        <v>430601.6</v>
      </c>
      <c r="O14" s="266" cm="1">
        <f t="array" ref="O14">K14-E14*D14</f>
        <v>596561.6</v>
      </c>
      <c r="P14" s="266" cm="1">
        <f t="array" ref="P14">L14-E14*D14</f>
        <v>762521.6</v>
      </c>
    </row>
    <row r="15" ht="15" customHeight="1">
      <c r="A15" s="7"/>
      <c r="B15" t="s" s="260">
        <v>80</v>
      </c>
      <c r="C15" t="s" s="260">
        <v>81</v>
      </c>
      <c r="D15" s="264">
        <v>750</v>
      </c>
      <c r="E15" s="262">
        <v>660</v>
      </c>
      <c r="F15" s="429" cm="1">
        <f t="array" ref="F15">_xlfn.IFERROR(VLOOKUP(B15,'📥 Price Hub'!$B$5:$H$34,7,0),0)</f>
        <v>945.1</v>
      </c>
      <c r="G15" s="430" cm="1">
        <f t="array" ref="G15">D15*F15</f>
        <v>708825</v>
      </c>
      <c r="H15" s="430" cm="1">
        <f t="array" ref="H15">G15*0.8</f>
        <v>567060</v>
      </c>
      <c r="I15" s="430" cm="1">
        <f t="array" ref="I15">G15*0.9</f>
        <v>637942.5</v>
      </c>
      <c r="J15" s="430" cm="1">
        <f t="array" ref="J15">G15</f>
        <v>708825</v>
      </c>
      <c r="K15" s="430" cm="1">
        <f t="array" ref="K15">G15*1.15</f>
        <v>815148.75</v>
      </c>
      <c r="L15" s="430" cm="1">
        <f t="array" ref="L15">G15*1.3</f>
        <v>921472.5</v>
      </c>
      <c r="M15" s="266" cm="1">
        <f t="array" ref="M15">H15-E15*D15</f>
        <v>72060</v>
      </c>
      <c r="N15" s="266" cm="1">
        <f t="array" ref="N15">J15-E15*D15</f>
        <v>213825</v>
      </c>
      <c r="O15" s="266" cm="1">
        <f t="array" ref="O15">K15-E15*D15</f>
        <v>320148.75</v>
      </c>
      <c r="P15" s="266" cm="1">
        <f t="array" ref="P15">L15-E15*D15</f>
        <v>426472.5</v>
      </c>
    </row>
    <row r="16" ht="15" customHeight="1">
      <c r="A16" s="7"/>
      <c r="B16" t="s" s="260">
        <v>82</v>
      </c>
      <c r="C16" t="s" s="260">
        <v>83</v>
      </c>
      <c r="D16" s="264">
        <v>10074</v>
      </c>
      <c r="E16" s="262">
        <v>41.8047</v>
      </c>
      <c r="F16" s="429" cm="1">
        <f t="array" ref="F16">_xlfn.IFERROR(VLOOKUP(B16,'📥 Price Hub'!$B$5:$H$34,7,0),0)</f>
        <v>54.27</v>
      </c>
      <c r="G16" s="430" cm="1">
        <f t="array" ref="G16">D16*F16</f>
        <v>546715.98</v>
      </c>
      <c r="H16" s="430" cm="1">
        <f t="array" ref="H16">G16*0.8</f>
        <v>437372.784</v>
      </c>
      <c r="I16" s="430" cm="1">
        <f t="array" ref="I16">G16*0.9</f>
        <v>492044.382</v>
      </c>
      <c r="J16" s="430" cm="1">
        <f t="array" ref="J16">G16</f>
        <v>546715.98</v>
      </c>
      <c r="K16" s="430" cm="1">
        <f t="array" ref="K16">G16*1.15</f>
        <v>628723.377</v>
      </c>
      <c r="L16" s="430" cm="1">
        <f t="array" ref="L16">G16*1.3</f>
        <v>710730.774</v>
      </c>
      <c r="M16" s="266" cm="1">
        <f t="array" ref="M16">H16-E16*D16</f>
        <v>16232.2362</v>
      </c>
      <c r="N16" s="266" cm="1">
        <f t="array" ref="N16">J16-E16*D16</f>
        <v>125575.4322</v>
      </c>
      <c r="O16" s="266" cm="1">
        <f t="array" ref="O16">K16-E16*D16</f>
        <v>207582.8292</v>
      </c>
      <c r="P16" s="266" cm="1">
        <f t="array" ref="P16">L16-E16*D16</f>
        <v>289590.2262</v>
      </c>
    </row>
    <row r="17" ht="15" customHeight="1">
      <c r="A17" s="7"/>
      <c r="B17" t="s" s="260">
        <v>84</v>
      </c>
      <c r="C17" t="s" s="260">
        <v>85</v>
      </c>
      <c r="D17" s="264">
        <v>1200</v>
      </c>
      <c r="E17" s="262">
        <v>388.9194</v>
      </c>
      <c r="F17" s="429" cm="1">
        <f t="array" ref="F17">_xlfn.IFERROR(VLOOKUP(B17,'📥 Price Hub'!$B$5:$H$34,7,0),0)</f>
        <v>435.15</v>
      </c>
      <c r="G17" s="430" cm="1">
        <f t="array" ref="G17">D17*F17</f>
        <v>522180</v>
      </c>
      <c r="H17" s="430" cm="1">
        <f t="array" ref="H17">G17*0.8</f>
        <v>417744</v>
      </c>
      <c r="I17" s="430" cm="1">
        <f t="array" ref="I17">G17*0.9</f>
        <v>469962</v>
      </c>
      <c r="J17" s="430" cm="1">
        <f t="array" ref="J17">G17</f>
        <v>522180</v>
      </c>
      <c r="K17" s="430" cm="1">
        <f t="array" ref="K17">G17*1.15</f>
        <v>600507</v>
      </c>
      <c r="L17" s="430" cm="1">
        <f t="array" ref="L17">G17*1.3</f>
        <v>678834</v>
      </c>
      <c r="M17" s="266" cm="1">
        <f t="array" ref="M17">H17-E17*D17</f>
        <v>-48959.28</v>
      </c>
      <c r="N17" s="266" cm="1">
        <f t="array" ref="N17">J17-E17*D17</f>
        <v>55476.72</v>
      </c>
      <c r="O17" s="266" cm="1">
        <f t="array" ref="O17">K17-E17*D17</f>
        <v>133803.72</v>
      </c>
      <c r="P17" s="266" cm="1">
        <f t="array" ref="P17">L17-E17*D17</f>
        <v>212130.72</v>
      </c>
    </row>
    <row r="18" ht="15" customHeight="1">
      <c r="A18" s="7"/>
      <c r="B18" t="s" s="260">
        <v>86</v>
      </c>
      <c r="C18" t="s" s="260">
        <v>87</v>
      </c>
      <c r="D18" s="264">
        <v>375</v>
      </c>
      <c r="E18" s="262">
        <v>1154.2536</v>
      </c>
      <c r="F18" s="429" cm="1">
        <f t="array" ref="F18">_xlfn.IFERROR(VLOOKUP(B18,'📥 Price Hub'!$B$5:$H$34,7,0),0)</f>
        <v>1365.4</v>
      </c>
      <c r="G18" s="430" cm="1">
        <f t="array" ref="G18">D18*F18</f>
        <v>512025</v>
      </c>
      <c r="H18" s="430" cm="1">
        <f t="array" ref="H18">G18*0.8</f>
        <v>409620</v>
      </c>
      <c r="I18" s="430" cm="1">
        <f t="array" ref="I18">G18*0.9</f>
        <v>460822.5</v>
      </c>
      <c r="J18" s="430" cm="1">
        <f t="array" ref="J18">G18</f>
        <v>512025</v>
      </c>
      <c r="K18" s="430" cm="1">
        <f t="array" ref="K18">G18*1.15</f>
        <v>588828.75</v>
      </c>
      <c r="L18" s="430" cm="1">
        <f t="array" ref="L18">G18*1.3</f>
        <v>665632.5</v>
      </c>
      <c r="M18" s="266" cm="1">
        <f t="array" ref="M18">H18-E18*D18</f>
        <v>-23225.1</v>
      </c>
      <c r="N18" s="266" cm="1">
        <f t="array" ref="N18">J18-E18*D18</f>
        <v>79179.899999999994</v>
      </c>
      <c r="O18" s="266" cm="1">
        <f t="array" ref="O18">K18-E18*D18</f>
        <v>155983.65</v>
      </c>
      <c r="P18" s="266" cm="1">
        <f t="array" ref="P18">L18-E18*D18</f>
        <v>232787.4</v>
      </c>
    </row>
    <row r="19" ht="15" customHeight="1">
      <c r="A19" s="7"/>
      <c r="B19" t="s" s="260">
        <v>88</v>
      </c>
      <c r="C19" t="s" s="260">
        <v>89</v>
      </c>
      <c r="D19" s="264">
        <v>441</v>
      </c>
      <c r="E19" s="262">
        <v>934.6512</v>
      </c>
      <c r="F19" s="429" cm="1">
        <f t="array" ref="F19">_xlfn.IFERROR(VLOOKUP(B19,'📥 Price Hub'!$B$5:$H$34,7,0),0)</f>
        <v>1074.4</v>
      </c>
      <c r="G19" s="430" cm="1">
        <f t="array" ref="G19">D19*F19</f>
        <v>473810.4</v>
      </c>
      <c r="H19" s="430" cm="1">
        <f t="array" ref="H19">G19*0.8</f>
        <v>379048.32</v>
      </c>
      <c r="I19" s="430" cm="1">
        <f t="array" ref="I19">G19*0.9</f>
        <v>426429.36</v>
      </c>
      <c r="J19" s="430" cm="1">
        <f t="array" ref="J19">G19</f>
        <v>473810.4</v>
      </c>
      <c r="K19" s="430" cm="1">
        <f t="array" ref="K19">G19*1.15</f>
        <v>544881.96</v>
      </c>
      <c r="L19" s="430" cm="1">
        <f t="array" ref="L19">G19*1.3</f>
        <v>615953.52</v>
      </c>
      <c r="M19" s="266" cm="1">
        <f t="array" ref="M19">H19-E19*D19</f>
        <v>-33132.8592</v>
      </c>
      <c r="N19" s="266" cm="1">
        <f t="array" ref="N19">J19-E19*D19</f>
        <v>61629.2208</v>
      </c>
      <c r="O19" s="266" cm="1">
        <f t="array" ref="O19">K19-E19*D19</f>
        <v>132700.7808</v>
      </c>
      <c r="P19" s="266" cm="1">
        <f t="array" ref="P19">L19-E19*D19</f>
        <v>203772.3408</v>
      </c>
    </row>
    <row r="20" ht="15" customHeight="1">
      <c r="A20" s="7"/>
      <c r="B20" t="s" s="260">
        <v>90</v>
      </c>
      <c r="C20" t="s" s="260">
        <v>91</v>
      </c>
      <c r="D20" s="264">
        <v>550</v>
      </c>
      <c r="E20" s="262">
        <v>743.8698000000001</v>
      </c>
      <c r="F20" s="429" cm="1">
        <f t="array" ref="F20">_xlfn.IFERROR(VLOOKUP(B20,'📥 Price Hub'!$B$5:$H$34,7,0),0)</f>
        <v>859.1</v>
      </c>
      <c r="G20" s="430" cm="1">
        <f t="array" ref="G20">D20*F20</f>
        <v>472505</v>
      </c>
      <c r="H20" s="430" cm="1">
        <f t="array" ref="H20">G20*0.8</f>
        <v>378004</v>
      </c>
      <c r="I20" s="430" cm="1">
        <f t="array" ref="I20">G20*0.9</f>
        <v>425254.5</v>
      </c>
      <c r="J20" s="430" cm="1">
        <f t="array" ref="J20">G20</f>
        <v>472505</v>
      </c>
      <c r="K20" s="430" cm="1">
        <f t="array" ref="K20">G20*1.15</f>
        <v>543380.75</v>
      </c>
      <c r="L20" s="430" cm="1">
        <f t="array" ref="L20">G20*1.3</f>
        <v>614256.5</v>
      </c>
      <c r="M20" s="266" cm="1">
        <f t="array" ref="M20">H20-E20*D20</f>
        <v>-31124.39</v>
      </c>
      <c r="N20" s="266" cm="1">
        <f t="array" ref="N20">J20-E20*D20</f>
        <v>63376.61</v>
      </c>
      <c r="O20" s="266" cm="1">
        <f t="array" ref="O20">K20-E20*D20</f>
        <v>134252.36</v>
      </c>
      <c r="P20" s="266" cm="1">
        <f t="array" ref="P20">L20-E20*D20</f>
        <v>205128.11</v>
      </c>
    </row>
    <row r="21" ht="15" customHeight="1">
      <c r="A21" s="7"/>
      <c r="B21" t="s" s="260">
        <v>92</v>
      </c>
      <c r="C21" t="s" s="260">
        <v>87</v>
      </c>
      <c r="D21" s="264">
        <v>1500</v>
      </c>
      <c r="E21" s="262">
        <v>241.5191</v>
      </c>
      <c r="F21" s="429" cm="1">
        <f t="array" ref="F21">_xlfn.IFERROR(VLOOKUP(B21,'📥 Price Hub'!$B$5:$H$34,7,0),0)</f>
        <v>299.3</v>
      </c>
      <c r="G21" s="430" cm="1">
        <f t="array" ref="G21">D21*F21</f>
        <v>448950</v>
      </c>
      <c r="H21" s="430" cm="1">
        <f t="array" ref="H21">G21*0.8</f>
        <v>359160</v>
      </c>
      <c r="I21" s="430" cm="1">
        <f t="array" ref="I21">G21*0.9</f>
        <v>404055</v>
      </c>
      <c r="J21" s="430" cm="1">
        <f t="array" ref="J21">G21</f>
        <v>448950</v>
      </c>
      <c r="K21" s="430" cm="1">
        <f t="array" ref="K21">G21*1.15</f>
        <v>516292.5</v>
      </c>
      <c r="L21" s="430" cm="1">
        <f t="array" ref="L21">G21*1.3</f>
        <v>583635</v>
      </c>
      <c r="M21" s="266" cm="1">
        <f t="array" ref="M21">H21-E21*D21</f>
        <v>-3118.65</v>
      </c>
      <c r="N21" s="266" cm="1">
        <f t="array" ref="N21">J21-E21*D21</f>
        <v>86671.350000000006</v>
      </c>
      <c r="O21" s="266" cm="1">
        <f t="array" ref="O21">K21-E21*D21</f>
        <v>154013.85</v>
      </c>
      <c r="P21" s="266" cm="1">
        <f t="array" ref="P21">L21-E21*D21</f>
        <v>221356.35</v>
      </c>
    </row>
    <row r="22" ht="15" customHeight="1">
      <c r="A22" s="7"/>
      <c r="B22" t="s" s="260">
        <v>93</v>
      </c>
      <c r="C22" t="s" s="260">
        <v>83</v>
      </c>
      <c r="D22" s="264">
        <v>350</v>
      </c>
      <c r="E22" s="262">
        <v>961.5244</v>
      </c>
      <c r="F22" s="429" cm="1">
        <f t="array" ref="F22">_xlfn.IFERROR(VLOOKUP(B22,'📥 Price Hub'!$B$5:$H$34,7,0),0)</f>
        <v>1225.8</v>
      </c>
      <c r="G22" s="430" cm="1">
        <f t="array" ref="G22">D22*F22</f>
        <v>429030</v>
      </c>
      <c r="H22" s="430" cm="1">
        <f t="array" ref="H22">G22*0.8</f>
        <v>343224</v>
      </c>
      <c r="I22" s="430" cm="1">
        <f t="array" ref="I22">G22*0.9</f>
        <v>386127</v>
      </c>
      <c r="J22" s="430" cm="1">
        <f t="array" ref="J22">G22</f>
        <v>429030</v>
      </c>
      <c r="K22" s="430" cm="1">
        <f t="array" ref="K22">G22*1.15</f>
        <v>493384.5</v>
      </c>
      <c r="L22" s="430" cm="1">
        <f t="array" ref="L22">G22*1.3</f>
        <v>557739</v>
      </c>
      <c r="M22" s="266" cm="1">
        <f t="array" ref="M22">H22-E22*D22</f>
        <v>6690.46</v>
      </c>
      <c r="N22" s="266" cm="1">
        <f t="array" ref="N22">J22-E22*D22</f>
        <v>92496.460000000006</v>
      </c>
      <c r="O22" s="266" cm="1">
        <f t="array" ref="O22">K22-E22*D22</f>
        <v>156850.96</v>
      </c>
      <c r="P22" s="266" cm="1">
        <f t="array" ref="P22">L22-E22*D22</f>
        <v>221205.46</v>
      </c>
    </row>
    <row r="23" ht="15" customHeight="1">
      <c r="A23" s="7"/>
      <c r="B23" t="s" s="260">
        <v>94</v>
      </c>
      <c r="C23" t="s" s="260">
        <v>95</v>
      </c>
      <c r="D23" s="264">
        <v>110</v>
      </c>
      <c r="E23" s="262">
        <v>3614.1977</v>
      </c>
      <c r="F23" s="429" cm="1">
        <f t="array" ref="F23">_xlfn.IFERROR(VLOOKUP(B23,'📥 Price Hub'!$B$5:$H$34,7,0),0)</f>
        <v>3882.6</v>
      </c>
      <c r="G23" s="430" cm="1">
        <f t="array" ref="G23">D23*F23</f>
        <v>427086</v>
      </c>
      <c r="H23" s="430" cm="1">
        <f t="array" ref="H23">G23*0.8</f>
        <v>341668.8</v>
      </c>
      <c r="I23" s="430" cm="1">
        <f t="array" ref="I23">G23*0.9</f>
        <v>384377.4</v>
      </c>
      <c r="J23" s="430" cm="1">
        <f t="array" ref="J23">G23</f>
        <v>427086</v>
      </c>
      <c r="K23" s="430" cm="1">
        <f t="array" ref="K23">G23*1.15</f>
        <v>491148.9</v>
      </c>
      <c r="L23" s="430" cm="1">
        <f t="array" ref="L23">G23*1.3</f>
        <v>555211.8</v>
      </c>
      <c r="M23" s="266" cm="1">
        <f t="array" ref="M23">H23-E23*D23</f>
        <v>-55892.947</v>
      </c>
      <c r="N23" s="266" cm="1">
        <f t="array" ref="N23">J23-E23*D23</f>
        <v>29524.253</v>
      </c>
      <c r="O23" s="266" cm="1">
        <f t="array" ref="O23">K23-E23*D23</f>
        <v>93587.153000000006</v>
      </c>
      <c r="P23" s="266" cm="1">
        <f t="array" ref="P23">L23-E23*D23</f>
        <v>157650.053</v>
      </c>
    </row>
    <row r="24" ht="15" customHeight="1">
      <c r="A24" s="7"/>
      <c r="B24" t="s" s="260">
        <v>96</v>
      </c>
      <c r="C24" t="s" s="260">
        <v>97</v>
      </c>
      <c r="D24" s="264">
        <v>240</v>
      </c>
      <c r="E24" s="262">
        <v>1336.4402</v>
      </c>
      <c r="F24" s="429" cm="1">
        <f t="array" ref="F24">_xlfn.IFERROR(VLOOKUP(B24,'📥 Price Hub'!$B$5:$H$34,7,0),0)</f>
        <v>1744</v>
      </c>
      <c r="G24" s="430" cm="1">
        <f t="array" ref="G24">D24*F24</f>
        <v>418560</v>
      </c>
      <c r="H24" s="430" cm="1">
        <f t="array" ref="H24">G24*0.8</f>
        <v>334848</v>
      </c>
      <c r="I24" s="430" cm="1">
        <f t="array" ref="I24">G24*0.9</f>
        <v>376704</v>
      </c>
      <c r="J24" s="430" cm="1">
        <f t="array" ref="J24">G24</f>
        <v>418560</v>
      </c>
      <c r="K24" s="430" cm="1">
        <f t="array" ref="K24">G24*1.15</f>
        <v>481344</v>
      </c>
      <c r="L24" s="430" cm="1">
        <f t="array" ref="L24">G24*1.3</f>
        <v>544128</v>
      </c>
      <c r="M24" s="266" cm="1">
        <f t="array" ref="M24">H24-E24*D24</f>
        <v>14102.352</v>
      </c>
      <c r="N24" s="266" cm="1">
        <f t="array" ref="N24">J24-E24*D24</f>
        <v>97814.352</v>
      </c>
      <c r="O24" s="266" cm="1">
        <f t="array" ref="O24">K24-E24*D24</f>
        <v>160598.352</v>
      </c>
      <c r="P24" s="266" cm="1">
        <f t="array" ref="P24">L24-E24*D24</f>
        <v>223382.352</v>
      </c>
    </row>
    <row r="25" ht="15" customHeight="1">
      <c r="A25" s="7"/>
      <c r="B25" t="s" s="260">
        <v>98</v>
      </c>
      <c r="C25" t="s" s="260">
        <v>87</v>
      </c>
      <c r="D25" s="264">
        <v>450</v>
      </c>
      <c r="E25" s="262">
        <v>626.6593</v>
      </c>
      <c r="F25" s="429" cm="1">
        <f t="array" ref="F25">_xlfn.IFERROR(VLOOKUP(B25,'📥 Price Hub'!$B$5:$H$34,7,0),0)</f>
        <v>868.65</v>
      </c>
      <c r="G25" s="430" cm="1">
        <f t="array" ref="G25">D25*F25</f>
        <v>390892.5</v>
      </c>
      <c r="H25" s="430" cm="1">
        <f t="array" ref="H25">G25*0.8</f>
        <v>312714</v>
      </c>
      <c r="I25" s="430" cm="1">
        <f t="array" ref="I25">G25*0.9</f>
        <v>351803.25</v>
      </c>
      <c r="J25" s="430" cm="1">
        <f t="array" ref="J25">G25</f>
        <v>390892.5</v>
      </c>
      <c r="K25" s="430" cm="1">
        <f t="array" ref="K25">G25*1.15</f>
        <v>449526.375</v>
      </c>
      <c r="L25" s="430" cm="1">
        <f t="array" ref="L25">G25*1.3</f>
        <v>508160.25</v>
      </c>
      <c r="M25" s="266" cm="1">
        <f t="array" ref="M25">H25-E25*D25</f>
        <v>30717.315</v>
      </c>
      <c r="N25" s="266" cm="1">
        <f t="array" ref="N25">J25-E25*D25</f>
        <v>108895.815</v>
      </c>
      <c r="O25" s="266" cm="1">
        <f t="array" ref="O25">K25-E25*D25</f>
        <v>167529.69</v>
      </c>
      <c r="P25" s="266" cm="1">
        <f t="array" ref="P25">L25-E25*D25</f>
        <v>226163.565</v>
      </c>
    </row>
    <row r="26" ht="15" customHeight="1">
      <c r="A26" s="7"/>
      <c r="B26" t="s" s="260">
        <v>99</v>
      </c>
      <c r="C26" t="s" s="260">
        <v>100</v>
      </c>
      <c r="D26" s="264">
        <v>375</v>
      </c>
      <c r="E26" s="262">
        <v>1006.4883</v>
      </c>
      <c r="F26" s="429" cm="1">
        <f t="array" ref="F26">_xlfn.IFERROR(VLOOKUP(B26,'📥 Price Hub'!$B$5:$H$34,7,0),0)</f>
        <v>995.55</v>
      </c>
      <c r="G26" s="430" cm="1">
        <f t="array" ref="G26">D26*F26</f>
        <v>373331.25</v>
      </c>
      <c r="H26" s="430" cm="1">
        <f t="array" ref="H26">G26*0.8</f>
        <v>298665</v>
      </c>
      <c r="I26" s="430" cm="1">
        <f t="array" ref="I26">G26*0.9</f>
        <v>335998.125</v>
      </c>
      <c r="J26" s="430" cm="1">
        <f t="array" ref="J26">G26</f>
        <v>373331.25</v>
      </c>
      <c r="K26" s="430" cm="1">
        <f t="array" ref="K26">G26*1.15</f>
        <v>429330.9375</v>
      </c>
      <c r="L26" s="430" cm="1">
        <f t="array" ref="L26">G26*1.3</f>
        <v>485330.625</v>
      </c>
      <c r="M26" s="266" cm="1">
        <f t="array" ref="M26">H26-E26*D26</f>
        <v>-78768.1125</v>
      </c>
      <c r="N26" s="266" cm="1">
        <f t="array" ref="N26">J26-E26*D26</f>
        <v>-4101.8625</v>
      </c>
      <c r="O26" s="266" cm="1">
        <f t="array" ref="O26">K26-E26*D26</f>
        <v>51897.825</v>
      </c>
      <c r="P26" s="266" cm="1">
        <f t="array" ref="P26">L26-E26*D26</f>
        <v>107897.5125</v>
      </c>
    </row>
    <row r="27" ht="15" customHeight="1">
      <c r="A27" s="7"/>
      <c r="B27" t="s" s="260">
        <v>101</v>
      </c>
      <c r="C27" t="s" s="260">
        <v>102</v>
      </c>
      <c r="D27" s="264">
        <v>850</v>
      </c>
      <c r="E27" s="262">
        <v>472.3749</v>
      </c>
      <c r="F27" s="429" cm="1">
        <f t="array" ref="F27">_xlfn.IFERROR(VLOOKUP(B27,'📥 Price Hub'!$B$5:$H$34,7,0),0)</f>
        <v>431.3</v>
      </c>
      <c r="G27" s="430" cm="1">
        <f t="array" ref="G27">D27*F27</f>
        <v>366605</v>
      </c>
      <c r="H27" s="430" cm="1">
        <f t="array" ref="H27">G27*0.8</f>
        <v>293284</v>
      </c>
      <c r="I27" s="430" cm="1">
        <f t="array" ref="I27">G27*0.9</f>
        <v>329944.5</v>
      </c>
      <c r="J27" s="430" cm="1">
        <f t="array" ref="J27">G27</f>
        <v>366605</v>
      </c>
      <c r="K27" s="430" cm="1">
        <f t="array" ref="K27">G27*1.15</f>
        <v>421595.75</v>
      </c>
      <c r="L27" s="430" cm="1">
        <f t="array" ref="L27">G27*1.3</f>
        <v>476586.5</v>
      </c>
      <c r="M27" s="266" cm="1">
        <f t="array" ref="M27">H27-E27*D27</f>
        <v>-108234.665</v>
      </c>
      <c r="N27" s="266" cm="1">
        <f t="array" ref="N27">J27-E27*D27</f>
        <v>-34913.665</v>
      </c>
      <c r="O27" s="266" cm="1">
        <f t="array" ref="O27">K27-E27*D27</f>
        <v>20077.085</v>
      </c>
      <c r="P27" s="266" cm="1">
        <f t="array" ref="P27">L27-E27*D27</f>
        <v>75067.835000000006</v>
      </c>
    </row>
    <row r="28" ht="15" customHeight="1">
      <c r="A28" s="7"/>
      <c r="B28" t="s" s="260">
        <v>103</v>
      </c>
      <c r="C28" t="s" s="260">
        <v>91</v>
      </c>
      <c r="D28" s="264">
        <v>400</v>
      </c>
      <c r="E28" s="262">
        <v>876.6309</v>
      </c>
      <c r="F28" s="429" cm="1">
        <f t="array" ref="F28">_xlfn.IFERROR(VLOOKUP(B28,'📥 Price Hub'!$B$5:$H$34,7,0),0)</f>
        <v>853.9</v>
      </c>
      <c r="G28" s="430" cm="1">
        <f t="array" ref="G28">D28*F28</f>
        <v>341560</v>
      </c>
      <c r="H28" s="430" cm="1">
        <f t="array" ref="H28">G28*0.8</f>
        <v>273248</v>
      </c>
      <c r="I28" s="430" cm="1">
        <f t="array" ref="I28">G28*0.9</f>
        <v>307404</v>
      </c>
      <c r="J28" s="430" cm="1">
        <f t="array" ref="J28">G28</f>
        <v>341560</v>
      </c>
      <c r="K28" s="430" cm="1">
        <f t="array" ref="K28">G28*1.15</f>
        <v>392794</v>
      </c>
      <c r="L28" s="430" cm="1">
        <f t="array" ref="L28">G28*1.3</f>
        <v>444028</v>
      </c>
      <c r="M28" s="266" cm="1">
        <f t="array" ref="M28">H28-E28*D28</f>
        <v>-77404.36</v>
      </c>
      <c r="N28" s="266" cm="1">
        <f t="array" ref="N28">J28-E28*D28</f>
        <v>-9092.360000000001</v>
      </c>
      <c r="O28" s="266" cm="1">
        <f t="array" ref="O28">K28-E28*D28</f>
        <v>42141.64</v>
      </c>
      <c r="P28" s="266" cm="1">
        <f t="array" ref="P28">L28-E28*D28</f>
        <v>93375.64</v>
      </c>
    </row>
    <row r="29" ht="15" customHeight="1">
      <c r="A29" s="7"/>
      <c r="B29" t="s" s="260">
        <v>104</v>
      </c>
      <c r="C29" t="s" s="260">
        <v>83</v>
      </c>
      <c r="D29" s="264">
        <v>22000</v>
      </c>
      <c r="E29" s="262">
        <v>14.0369</v>
      </c>
      <c r="F29" s="429" cm="1">
        <f t="array" ref="F29">_xlfn.IFERROR(VLOOKUP(B29,'📥 Price Hub'!$B$5:$H$34,7,0),0)</f>
        <v>13.14</v>
      </c>
      <c r="G29" s="430" cm="1">
        <f t="array" ref="G29">D29*F29</f>
        <v>289080</v>
      </c>
      <c r="H29" s="430" cm="1">
        <f t="array" ref="H29">G29*0.8</f>
        <v>231264</v>
      </c>
      <c r="I29" s="430" cm="1">
        <f t="array" ref="I29">G29*0.9</f>
        <v>260172</v>
      </c>
      <c r="J29" s="430" cm="1">
        <f t="array" ref="J29">G29</f>
        <v>289080</v>
      </c>
      <c r="K29" s="430" cm="1">
        <f t="array" ref="K29">G29*1.15</f>
        <v>332442</v>
      </c>
      <c r="L29" s="430" cm="1">
        <f t="array" ref="L29">G29*1.3</f>
        <v>375804</v>
      </c>
      <c r="M29" s="266" cm="1">
        <f t="array" ref="M29">H29-E29*D29</f>
        <v>-77547.8</v>
      </c>
      <c r="N29" s="266" cm="1">
        <f t="array" ref="N29">J29-E29*D29</f>
        <v>-19731.8</v>
      </c>
      <c r="O29" s="266" cm="1">
        <f t="array" ref="O29">K29-E29*D29</f>
        <v>23630.2</v>
      </c>
      <c r="P29" s="266" cm="1">
        <f t="array" ref="P29">L29-E29*D29</f>
        <v>66992.2</v>
      </c>
    </row>
    <row r="30" ht="15" customHeight="1">
      <c r="A30" s="7"/>
      <c r="B30" t="s" s="260">
        <v>105</v>
      </c>
      <c r="C30" t="s" s="260">
        <v>97</v>
      </c>
      <c r="D30" s="264">
        <v>235</v>
      </c>
      <c r="E30" s="262">
        <v>1278.1598</v>
      </c>
      <c r="F30" s="429" cm="1">
        <f t="array" ref="F30">_xlfn.IFERROR(VLOOKUP(B30,'📥 Price Hub'!$B$5:$H$34,7,0),0)</f>
        <v>1214.7</v>
      </c>
      <c r="G30" s="430" cm="1">
        <f t="array" ref="G30">D30*F30</f>
        <v>285454.5</v>
      </c>
      <c r="H30" s="430" cm="1">
        <f t="array" ref="H30">G30*0.8</f>
        <v>228363.6</v>
      </c>
      <c r="I30" s="430" cm="1">
        <f t="array" ref="I30">G30*0.9</f>
        <v>256909.05</v>
      </c>
      <c r="J30" s="430" cm="1">
        <f t="array" ref="J30">G30</f>
        <v>285454.5</v>
      </c>
      <c r="K30" s="430" cm="1">
        <f t="array" ref="K30">G30*1.15</f>
        <v>328272.675</v>
      </c>
      <c r="L30" s="430" cm="1">
        <f t="array" ref="L30">G30*1.3</f>
        <v>371090.85</v>
      </c>
      <c r="M30" s="266" cm="1">
        <f t="array" ref="M30">H30-E30*D30</f>
        <v>-72003.952999999994</v>
      </c>
      <c r="N30" s="266" cm="1">
        <f t="array" ref="N30">J30-E30*D30</f>
        <v>-14913.053</v>
      </c>
      <c r="O30" s="266" cm="1">
        <f t="array" ref="O30">K30-E30*D30</f>
        <v>27905.122</v>
      </c>
      <c r="P30" s="266" cm="1">
        <f t="array" ref="P30">L30-E30*D30</f>
        <v>70723.297000000006</v>
      </c>
    </row>
    <row r="31" ht="15" customHeight="1">
      <c r="A31" s="7"/>
      <c r="B31" t="s" s="260">
        <v>106</v>
      </c>
      <c r="C31" t="s" s="260">
        <v>107</v>
      </c>
      <c r="D31" s="264">
        <v>450</v>
      </c>
      <c r="E31" s="262">
        <v>706.2689</v>
      </c>
      <c r="F31" s="429" cm="1">
        <f t="array" ref="F31">_xlfn.IFERROR(VLOOKUP(B31,'📥 Price Hub'!$B$5:$H$34,7,0),0)</f>
        <v>630.35</v>
      </c>
      <c r="G31" s="430" cm="1">
        <f t="array" ref="G31">D31*F31</f>
        <v>283657.5</v>
      </c>
      <c r="H31" s="430" cm="1">
        <f t="array" ref="H31">G31*0.8</f>
        <v>226926</v>
      </c>
      <c r="I31" s="430" cm="1">
        <f t="array" ref="I31">G31*0.9</f>
        <v>255291.75</v>
      </c>
      <c r="J31" s="430" cm="1">
        <f t="array" ref="J31">G31</f>
        <v>283657.5</v>
      </c>
      <c r="K31" s="430" cm="1">
        <f t="array" ref="K31">G31*1.15</f>
        <v>326206.125</v>
      </c>
      <c r="L31" s="430" cm="1">
        <f t="array" ref="L31">G31*1.3</f>
        <v>368754.75</v>
      </c>
      <c r="M31" s="266" cm="1">
        <f t="array" ref="M31">H31-E31*D31</f>
        <v>-90895.005</v>
      </c>
      <c r="N31" s="266" cm="1">
        <f t="array" ref="N31">J31-E31*D31</f>
        <v>-34163.505</v>
      </c>
      <c r="O31" s="266" cm="1">
        <f t="array" ref="O31">K31-E31*D31</f>
        <v>8385.120000000001</v>
      </c>
      <c r="P31" s="266" cm="1">
        <f t="array" ref="P31">L31-E31*D31</f>
        <v>50933.745</v>
      </c>
    </row>
    <row r="32" ht="15" customHeight="1">
      <c r="A32" s="7"/>
      <c r="B32" t="s" s="260">
        <v>108</v>
      </c>
      <c r="C32" t="s" s="260">
        <v>97</v>
      </c>
      <c r="D32" s="264">
        <v>300</v>
      </c>
      <c r="E32" s="262">
        <v>928.2137</v>
      </c>
      <c r="F32" s="429" cm="1">
        <f t="array" ref="F32">_xlfn.IFERROR(VLOOKUP(B32,'📥 Price Hub'!$B$5:$H$34,7,0),0)</f>
        <v>896.9</v>
      </c>
      <c r="G32" s="430" cm="1">
        <f t="array" ref="G32">D32*F32</f>
        <v>269070</v>
      </c>
      <c r="H32" s="430" cm="1">
        <f t="array" ref="H32">G32*0.8</f>
        <v>215256</v>
      </c>
      <c r="I32" s="430" cm="1">
        <f t="array" ref="I32">G32*0.9</f>
        <v>242163</v>
      </c>
      <c r="J32" s="430" cm="1">
        <f t="array" ref="J32">G32</f>
        <v>269070</v>
      </c>
      <c r="K32" s="430" cm="1">
        <f t="array" ref="K32">G32*1.15</f>
        <v>309430.5</v>
      </c>
      <c r="L32" s="430" cm="1">
        <f t="array" ref="L32">G32*1.3</f>
        <v>349791</v>
      </c>
      <c r="M32" s="266" cm="1">
        <f t="array" ref="M32">H32-E32*D32</f>
        <v>-63208.11</v>
      </c>
      <c r="N32" s="266" cm="1">
        <f t="array" ref="N32">J32-E32*D32</f>
        <v>-9394.110000000001</v>
      </c>
      <c r="O32" s="266" cm="1">
        <f t="array" ref="O32">K32-E32*D32</f>
        <v>30966.39</v>
      </c>
      <c r="P32" s="266" cm="1">
        <f t="array" ref="P32">L32-E32*D32</f>
        <v>71326.89</v>
      </c>
    </row>
    <row r="33" ht="15" customHeight="1">
      <c r="A33" s="7"/>
      <c r="B33" t="s" s="260">
        <v>109</v>
      </c>
      <c r="C33" t="s" s="260">
        <v>95</v>
      </c>
      <c r="D33" s="264">
        <v>180</v>
      </c>
      <c r="E33" s="262">
        <v>960.1683</v>
      </c>
      <c r="F33" s="429" cm="1">
        <f t="array" ref="F33">_xlfn.IFERROR(VLOOKUP(B33,'📥 Price Hub'!$B$5:$H$34,7,0),0)</f>
        <v>1416.5</v>
      </c>
      <c r="G33" s="430" cm="1">
        <f t="array" ref="G33">D33*F33</f>
        <v>254970</v>
      </c>
      <c r="H33" s="430" cm="1">
        <f t="array" ref="H33">G33*0.8</f>
        <v>203976</v>
      </c>
      <c r="I33" s="430" cm="1">
        <f t="array" ref="I33">G33*0.9</f>
        <v>229473</v>
      </c>
      <c r="J33" s="430" cm="1">
        <f t="array" ref="J33">G33</f>
        <v>254970</v>
      </c>
      <c r="K33" s="430" cm="1">
        <f t="array" ref="K33">G33*1.15</f>
        <v>293215.5</v>
      </c>
      <c r="L33" s="430" cm="1">
        <f t="array" ref="L33">G33*1.3</f>
        <v>331461</v>
      </c>
      <c r="M33" s="266" cm="1">
        <f t="array" ref="M33">H33-E33*D33</f>
        <v>31145.706</v>
      </c>
      <c r="N33" s="266" cm="1">
        <f t="array" ref="N33">J33-E33*D33</f>
        <v>82139.706000000006</v>
      </c>
      <c r="O33" s="266" cm="1">
        <f t="array" ref="O33">K33-E33*D33</f>
        <v>120385.206</v>
      </c>
      <c r="P33" s="266" cm="1">
        <f t="array" ref="P33">L33-E33*D33</f>
        <v>158630.706</v>
      </c>
    </row>
    <row r="34" ht="15" customHeight="1">
      <c r="A34" s="7"/>
      <c r="B34" t="s" s="260">
        <v>110</v>
      </c>
      <c r="C34" t="s" s="260">
        <v>111</v>
      </c>
      <c r="D34" s="264">
        <v>700</v>
      </c>
      <c r="E34" s="262">
        <v>416.1604</v>
      </c>
      <c r="F34" s="429" cm="1">
        <f t="array" ref="F34">_xlfn.IFERROR(VLOOKUP(B34,'📥 Price Hub'!$B$5:$H$34,7,0),0)</f>
        <v>340.5</v>
      </c>
      <c r="G34" s="430" cm="1">
        <f t="array" ref="G34">D34*F34</f>
        <v>238350</v>
      </c>
      <c r="H34" s="430" cm="1">
        <f t="array" ref="H34">G34*0.8</f>
        <v>190680</v>
      </c>
      <c r="I34" s="430" cm="1">
        <f t="array" ref="I34">G34*0.9</f>
        <v>214515</v>
      </c>
      <c r="J34" s="430" cm="1">
        <f t="array" ref="J34">G34</f>
        <v>238350</v>
      </c>
      <c r="K34" s="430" cm="1">
        <f t="array" ref="K34">G34*1.15</f>
        <v>274102.5</v>
      </c>
      <c r="L34" s="430" cm="1">
        <f t="array" ref="L34">G34*1.3</f>
        <v>309855</v>
      </c>
      <c r="M34" s="266" cm="1">
        <f t="array" ref="M34">H34-E34*D34</f>
        <v>-100632.28</v>
      </c>
      <c r="N34" s="266" cm="1">
        <f t="array" ref="N34">J34-E34*D34</f>
        <v>-52962.28</v>
      </c>
      <c r="O34" s="266" cm="1">
        <f t="array" ref="O34">K34-E34*D34</f>
        <v>-17209.78</v>
      </c>
      <c r="P34" s="266" cm="1">
        <f t="array" ref="P34">L34-E34*D34</f>
        <v>18542.72</v>
      </c>
    </row>
    <row r="35" ht="15" customHeight="1">
      <c r="A35" s="7"/>
      <c r="B35" t="s" s="260">
        <v>112</v>
      </c>
      <c r="C35" t="s" s="260">
        <v>113</v>
      </c>
      <c r="D35" s="264">
        <v>1750</v>
      </c>
      <c r="E35" s="262">
        <v>144.9455</v>
      </c>
      <c r="F35" s="429" cm="1">
        <f t="array" ref="F35">_xlfn.IFERROR(VLOOKUP(B35,'📥 Price Hub'!$B$5:$H$34,7,0),0)</f>
        <v>118.59</v>
      </c>
      <c r="G35" s="430" cm="1">
        <f t="array" ref="G35">D35*F35</f>
        <v>207532.5</v>
      </c>
      <c r="H35" s="430" cm="1">
        <f t="array" ref="H35">G35*0.8</f>
        <v>166026</v>
      </c>
      <c r="I35" s="430" cm="1">
        <f t="array" ref="I35">G35*0.9</f>
        <v>186779.25</v>
      </c>
      <c r="J35" s="430" cm="1">
        <f t="array" ref="J35">G35</f>
        <v>207532.5</v>
      </c>
      <c r="K35" s="430" cm="1">
        <f t="array" ref="K35">G35*1.15</f>
        <v>238662.375</v>
      </c>
      <c r="L35" s="430" cm="1">
        <f t="array" ref="L35">G35*1.3</f>
        <v>269792.25</v>
      </c>
      <c r="M35" s="266" cm="1">
        <f t="array" ref="M35">H35-E35*D35</f>
        <v>-87628.625</v>
      </c>
      <c r="N35" s="266" cm="1">
        <f t="array" ref="N35">J35-E35*D35</f>
        <v>-46122.125</v>
      </c>
      <c r="O35" s="266" cm="1">
        <f t="array" ref="O35">K35-E35*D35</f>
        <v>-14992.25</v>
      </c>
      <c r="P35" s="266" cm="1">
        <f t="array" ref="P35">L35-E35*D35</f>
        <v>16137.625</v>
      </c>
    </row>
    <row r="36" ht="15" customHeight="1">
      <c r="A36" s="7"/>
      <c r="B36" t="s" s="260">
        <v>114</v>
      </c>
      <c r="C36" t="s" s="260">
        <v>89</v>
      </c>
      <c r="D36" s="264">
        <v>1601</v>
      </c>
      <c r="E36" s="262">
        <v>109.5427</v>
      </c>
      <c r="F36" s="429" cm="1">
        <f t="array" ref="F36">_xlfn.IFERROR(VLOOKUP(B36,'📥 Price Hub'!$B$5:$H$34,7,0),0)</f>
        <v>126.25</v>
      </c>
      <c r="G36" s="430" cm="1">
        <f t="array" ref="G36">D36*F36</f>
        <v>202126.25</v>
      </c>
      <c r="H36" s="430" cm="1">
        <f t="array" ref="H36">G36*0.8</f>
        <v>161701</v>
      </c>
      <c r="I36" s="430" cm="1">
        <f t="array" ref="I36">G36*0.9</f>
        <v>181913.625</v>
      </c>
      <c r="J36" s="430" cm="1">
        <f t="array" ref="J36">G36</f>
        <v>202126.25</v>
      </c>
      <c r="K36" s="430" cm="1">
        <f t="array" ref="K36">G36*1.15</f>
        <v>232445.1875</v>
      </c>
      <c r="L36" s="430" cm="1">
        <f t="array" ref="L36">G36*1.3</f>
        <v>262764.125</v>
      </c>
      <c r="M36" s="266" cm="1">
        <f t="array" ref="M36">H36-E36*D36</f>
        <v>-13676.8627</v>
      </c>
      <c r="N36" s="266" cm="1">
        <f t="array" ref="N36">J36-E36*D36</f>
        <v>26748.3873</v>
      </c>
      <c r="O36" s="266" cm="1">
        <f t="array" ref="O36">K36-E36*D36</f>
        <v>57067.3248</v>
      </c>
      <c r="P36" s="266" cm="1">
        <f t="array" ref="P36">L36-E36*D36</f>
        <v>87386.2623</v>
      </c>
    </row>
    <row r="37" ht="15" customHeight="1">
      <c r="A37" s="7"/>
      <c r="B37" t="s" s="260">
        <v>115</v>
      </c>
      <c r="C37" t="s" s="260">
        <v>111</v>
      </c>
      <c r="D37" s="264">
        <v>40</v>
      </c>
      <c r="E37" s="262">
        <v>5143.1</v>
      </c>
      <c r="F37" s="429" cm="1">
        <f t="array" ref="F37">_xlfn.IFERROR(VLOOKUP(B37,'📥 Price Hub'!$B$5:$H$34,7,0),0)</f>
        <v>4709.1</v>
      </c>
      <c r="G37" s="430" cm="1">
        <f t="array" ref="G37">D37*F37</f>
        <v>188364</v>
      </c>
      <c r="H37" s="430" cm="1">
        <f t="array" ref="H37">G37*0.8</f>
        <v>150691.2</v>
      </c>
      <c r="I37" s="430" cm="1">
        <f t="array" ref="I37">G37*0.9</f>
        <v>169527.6</v>
      </c>
      <c r="J37" s="430" cm="1">
        <f t="array" ref="J37">G37</f>
        <v>188364</v>
      </c>
      <c r="K37" s="430" cm="1">
        <f t="array" ref="K37">G37*1.15</f>
        <v>216618.6</v>
      </c>
      <c r="L37" s="430" cm="1">
        <f t="array" ref="L37">G37*1.3</f>
        <v>244873.2</v>
      </c>
      <c r="M37" s="266" cm="1">
        <f t="array" ref="M37">H37-E37*D37</f>
        <v>-55032.8</v>
      </c>
      <c r="N37" s="266" cm="1">
        <f t="array" ref="N37">J37-E37*D37</f>
        <v>-17360</v>
      </c>
      <c r="O37" s="266" cm="1">
        <f t="array" ref="O37">K37-E37*D37</f>
        <v>10894.6</v>
      </c>
      <c r="P37" s="266" cm="1">
        <f t="array" ref="P37">L37-E37*D37</f>
        <v>39149.2</v>
      </c>
    </row>
    <row r="38" ht="15" customHeight="1">
      <c r="A38" s="7"/>
      <c r="B38" t="s" s="260">
        <v>116</v>
      </c>
      <c r="C38" t="s" s="260">
        <v>78</v>
      </c>
      <c r="D38" s="264">
        <v>5000</v>
      </c>
      <c r="E38" s="262">
        <v>22.8272</v>
      </c>
      <c r="F38" s="429" cm="1">
        <f t="array" ref="F38">_xlfn.IFERROR(VLOOKUP(B38,'📥 Price Hub'!$B$5:$H$34,7,0),0)</f>
        <v>27.1</v>
      </c>
      <c r="G38" s="430" cm="1">
        <f t="array" ref="G38">D38*F38</f>
        <v>135500</v>
      </c>
      <c r="H38" s="430" cm="1">
        <f t="array" ref="H38">G38*0.8</f>
        <v>108400</v>
      </c>
      <c r="I38" s="430" cm="1">
        <f t="array" ref="I38">G38*0.9</f>
        <v>121950</v>
      </c>
      <c r="J38" s="430" cm="1">
        <f t="array" ref="J38">G38</f>
        <v>135500</v>
      </c>
      <c r="K38" s="430" cm="1">
        <f t="array" ref="K38">G38*1.15</f>
        <v>155825</v>
      </c>
      <c r="L38" s="430" cm="1">
        <f t="array" ref="L38">G38*1.3</f>
        <v>176150</v>
      </c>
      <c r="M38" s="266" cm="1">
        <f t="array" ref="M38">H38-E38*D38</f>
        <v>-5736</v>
      </c>
      <c r="N38" s="266" cm="1">
        <f t="array" ref="N38">J38-E38*D38</f>
        <v>21364</v>
      </c>
      <c r="O38" s="266" cm="1">
        <f t="array" ref="O38">K38-E38*D38</f>
        <v>41689</v>
      </c>
      <c r="P38" s="266" cm="1">
        <f t="array" ref="P38">L38-E38*D38</f>
        <v>62014</v>
      </c>
    </row>
    <row r="39" ht="15" customHeight="1">
      <c r="A39" s="7"/>
      <c r="B39" t="s" s="260">
        <v>117</v>
      </c>
      <c r="C39" t="s" s="260">
        <v>111</v>
      </c>
      <c r="D39" s="264">
        <v>40</v>
      </c>
      <c r="E39" s="262">
        <v>3310.275</v>
      </c>
      <c r="F39" s="429" cm="1">
        <f t="array" ref="F39">_xlfn.IFERROR(VLOOKUP(B39,'📥 Price Hub'!$B$5:$H$34,7,0),0)</f>
        <v>3222.15</v>
      </c>
      <c r="G39" s="430" cm="1">
        <f t="array" ref="G39">D39*F39</f>
        <v>128886</v>
      </c>
      <c r="H39" s="430" cm="1">
        <f t="array" ref="H39">G39*0.8</f>
        <v>103108.8</v>
      </c>
      <c r="I39" s="430" cm="1">
        <f t="array" ref="I39">G39*0.9</f>
        <v>115997.4</v>
      </c>
      <c r="J39" s="430" cm="1">
        <f t="array" ref="J39">G39</f>
        <v>128886</v>
      </c>
      <c r="K39" s="430" cm="1">
        <f t="array" ref="K39">G39*1.15</f>
        <v>148218.9</v>
      </c>
      <c r="L39" s="430" cm="1">
        <f t="array" ref="L39">G39*1.3</f>
        <v>167551.8</v>
      </c>
      <c r="M39" s="266" cm="1">
        <f t="array" ref="M39">H39-E39*D39</f>
        <v>-29302.2</v>
      </c>
      <c r="N39" s="266" cm="1">
        <f t="array" ref="N39">J39-E39*D39</f>
        <v>-3525</v>
      </c>
      <c r="O39" s="266" cm="1">
        <f t="array" ref="O39">K39-E39*D39</f>
        <v>15807.9</v>
      </c>
      <c r="P39" s="266" cm="1">
        <f t="array" ref="P39">L39-E39*D39</f>
        <v>35140.8</v>
      </c>
    </row>
    <row r="40" ht="15" customHeight="1">
      <c r="A40" s="7"/>
      <c r="B40" t="s" s="260">
        <v>118</v>
      </c>
      <c r="C40" t="s" s="260">
        <v>119</v>
      </c>
      <c r="D40" s="264">
        <v>6</v>
      </c>
      <c r="E40" s="262">
        <v>16262.96</v>
      </c>
      <c r="F40" s="429" cm="1">
        <f t="array" ref="F40">_xlfn.IFERROR(VLOOKUP(B40,'📥 Price Hub'!$B$5:$H$34,7,0),0)</f>
        <v>16392.83</v>
      </c>
      <c r="G40" s="430" cm="1">
        <f t="array" ref="G40">D40*F40</f>
        <v>98356.98</v>
      </c>
      <c r="H40" s="430" cm="1">
        <f t="array" ref="H40">G40*0.8</f>
        <v>78685.584</v>
      </c>
      <c r="I40" s="430" cm="1">
        <f t="array" ref="I40">G40*0.9</f>
        <v>88521.282000000007</v>
      </c>
      <c r="J40" s="430" cm="1">
        <f t="array" ref="J40">G40</f>
        <v>98356.98</v>
      </c>
      <c r="K40" s="430" cm="1">
        <f t="array" ref="K40">G40*1.15</f>
        <v>113110.527</v>
      </c>
      <c r="L40" s="430" cm="1">
        <f t="array" ref="L40">G40*1.3</f>
        <v>127864.074</v>
      </c>
      <c r="M40" s="266" cm="1">
        <f t="array" ref="M40">H40-E40*D40</f>
        <v>-18892.176</v>
      </c>
      <c r="N40" s="266" cm="1">
        <f t="array" ref="N40">J40-E40*D40</f>
        <v>779.22</v>
      </c>
      <c r="O40" s="266" cm="1">
        <f t="array" ref="O40">K40-E40*D40</f>
        <v>15532.767</v>
      </c>
      <c r="P40" s="266" cm="1">
        <f t="array" ref="P40">L40-E40*D40</f>
        <v>30286.314</v>
      </c>
    </row>
    <row r="41" ht="15" customHeight="1">
      <c r="A41" s="7"/>
      <c r="B41" s="260"/>
      <c r="C41" s="260"/>
      <c r="D41" s="264">
        <v>0</v>
      </c>
      <c r="E41" s="262"/>
      <c r="F41" s="429"/>
      <c r="G41" s="430"/>
      <c r="H41" s="430"/>
      <c r="I41" s="430"/>
      <c r="J41" s="430"/>
      <c r="K41" s="430"/>
      <c r="L41" s="430"/>
      <c r="M41" s="266"/>
      <c r="N41" s="266"/>
      <c r="O41" s="266"/>
      <c r="P41" s="266"/>
    </row>
    <row r="42" ht="15" customHeight="1">
      <c r="A42" s="7"/>
      <c r="B42" s="260"/>
      <c r="C42" s="260"/>
      <c r="D42" s="264">
        <v>0</v>
      </c>
      <c r="E42" s="262"/>
      <c r="F42" s="429"/>
      <c r="G42" s="430"/>
      <c r="H42" s="430"/>
      <c r="I42" s="430"/>
      <c r="J42" s="430"/>
      <c r="K42" s="430"/>
      <c r="L42" s="430"/>
      <c r="M42" s="266"/>
      <c r="N42" s="266"/>
      <c r="O42" s="266"/>
      <c r="P42" s="266"/>
    </row>
    <row r="43" ht="15" customHeight="1">
      <c r="A43" s="12"/>
      <c r="B43" s="13"/>
      <c r="C43" s="13"/>
      <c r="D43" s="13"/>
      <c r="E43" s="13"/>
      <c r="F43" s="13"/>
      <c r="G43" s="13"/>
      <c r="H43" s="13"/>
      <c r="I43" s="13"/>
      <c r="J43" s="13"/>
      <c r="K43" s="13"/>
      <c r="L43" s="13"/>
      <c r="M43" s="13"/>
      <c r="N43" s="13"/>
      <c r="O43" s="13"/>
      <c r="P43" s="249"/>
    </row>
    <row r="44" ht="15" customHeight="1">
      <c r="A44" s="12"/>
      <c r="B44" s="14"/>
      <c r="C44" s="14"/>
      <c r="D44" s="14"/>
      <c r="E44" s="14"/>
      <c r="F44" s="14"/>
      <c r="G44" s="14"/>
      <c r="H44" s="14"/>
      <c r="I44" s="14"/>
      <c r="J44" s="14"/>
      <c r="K44" s="14"/>
      <c r="L44" s="14"/>
      <c r="M44" s="14"/>
      <c r="N44" s="14"/>
      <c r="O44" s="14"/>
      <c r="P44" s="11"/>
    </row>
    <row r="45" ht="15" customHeight="1">
      <c r="A45" s="402"/>
      <c r="B45" t="s" s="403">
        <v>602</v>
      </c>
      <c r="C45" s="404"/>
      <c r="D45" s="404"/>
      <c r="E45" s="404"/>
      <c r="F45" s="404"/>
      <c r="G45" s="404"/>
      <c r="H45" s="404"/>
      <c r="I45" s="404"/>
      <c r="J45" s="404"/>
      <c r="K45" s="404"/>
      <c r="L45" s="404"/>
      <c r="M45" s="404"/>
      <c r="N45" s="404"/>
      <c r="O45" s="404"/>
      <c r="P45" s="405"/>
    </row>
  </sheetData>
  <mergeCells count="4">
    <mergeCell ref="B1:P1"/>
    <mergeCell ref="B2:P2"/>
    <mergeCell ref="B12:P12"/>
    <mergeCell ref="B45:P45"/>
  </mergeCells>
  <conditionalFormatting sqref="E5:G9 M14:P42">
    <cfRule type="cellIs" dxfId="3" priority="1" operator="lessThan" stopIfTrue="1">
      <formula>0</formula>
    </cfRule>
  </conditionalFormatting>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H23"/>
  <sheetViews>
    <sheetView workbookViewId="0" showGridLines="0" defaultGridColor="1"/>
  </sheetViews>
  <sheetFormatPr defaultColWidth="8.66667" defaultRowHeight="15" customHeight="1" outlineLevelRow="0" outlineLevelCol="0"/>
  <cols>
    <col min="1" max="1" width="2" style="431" customWidth="1"/>
    <col min="2" max="2" width="26" style="431" customWidth="1"/>
    <col min="3" max="3" width="11" style="431" customWidth="1"/>
    <col min="4" max="5" width="16" style="431" customWidth="1"/>
    <col min="6" max="6" width="14" style="431" customWidth="1"/>
    <col min="7" max="7" width="11" style="431" customWidth="1"/>
    <col min="8" max="8" width="13" style="431" customWidth="1"/>
    <col min="9" max="16384" width="8.67188" style="431" customWidth="1"/>
  </cols>
  <sheetData>
    <row r="1" ht="30" customHeight="1">
      <c r="A1" s="2"/>
      <c r="B1" t="s" s="247">
        <v>603</v>
      </c>
      <c r="C1" s="248"/>
      <c r="D1" s="248"/>
      <c r="E1" s="248"/>
      <c r="F1" s="248"/>
      <c r="G1" s="248"/>
      <c r="H1" s="248"/>
    </row>
    <row r="2" ht="13.5" customHeight="1">
      <c r="A2" s="7"/>
      <c r="B2" t="s" s="8">
        <v>604</v>
      </c>
      <c r="C2" s="9"/>
      <c r="D2" s="9"/>
      <c r="E2" s="9"/>
      <c r="F2" s="9"/>
      <c r="G2" s="9"/>
      <c r="H2" s="9"/>
    </row>
    <row r="3" ht="15" customHeight="1">
      <c r="A3" s="12"/>
      <c r="B3" s="300"/>
      <c r="C3" s="300"/>
      <c r="D3" s="300"/>
      <c r="E3" s="300"/>
      <c r="F3" s="300"/>
      <c r="G3" s="300"/>
      <c r="H3" s="301"/>
    </row>
    <row r="4" ht="18" customHeight="1">
      <c r="A4" s="7"/>
      <c r="B4" t="s" s="259">
        <v>551</v>
      </c>
      <c r="C4" t="s" s="259">
        <v>605</v>
      </c>
      <c r="D4" t="s" s="259">
        <v>211</v>
      </c>
      <c r="E4" t="s" s="259">
        <v>606</v>
      </c>
      <c r="F4" t="s" s="259">
        <v>213</v>
      </c>
      <c r="G4" t="s" s="259">
        <v>607</v>
      </c>
      <c r="H4" t="s" s="259">
        <v>608</v>
      </c>
    </row>
    <row r="5" ht="15.75" customHeight="1">
      <c r="A5" s="7"/>
      <c r="B5" t="s" s="260">
        <v>609</v>
      </c>
      <c r="C5" s="432" cm="1">
        <f t="array" ref="C5">COUNTIF('📊 Portfolio Brief'!$C$11:$C$39,"BANKING")</f>
        <v>3</v>
      </c>
      <c r="D5" s="265" cm="1">
        <f t="array" ref="D5">SUMIF('📊 Portfolio Brief'!$C$11:$C$39,"BANKING",'📊 Portfolio Brief'!$G$11:$G$39)</f>
        <v>1077120.435</v>
      </c>
      <c r="E5" s="265" cm="1">
        <f t="array" ref="E5">SUMIF('📊 Portfolio Brief'!$C$11:$C$39,"BANKING",'📊 Portfolio Brief'!$H$11:$H$39)</f>
        <v>1351867.5</v>
      </c>
      <c r="F5" s="266" cm="1">
        <f t="array" ref="F5">E5-D5</f>
        <v>274747.065</v>
      </c>
      <c r="G5" s="267" cm="1">
        <f t="array" ref="G5">IF(D5=0,0,F5/D5)</f>
        <v>0.255075529228076</v>
      </c>
      <c r="H5" s="433" cm="1">
        <f t="array" ref="H5">IF(SUM(E5:E19)=0,0,E5/SUM(E5:E19))</f>
        <v>0.13358607014332</v>
      </c>
    </row>
    <row r="6" ht="15.75" customHeight="1">
      <c r="A6" s="7"/>
      <c r="B6" t="s" s="260">
        <v>610</v>
      </c>
      <c r="C6" s="432" cm="1">
        <f t="array" ref="C6">COUNTIF('📊 Portfolio Brief'!$C$11:$C$39,"MICROFINANCE")</f>
        <v>3</v>
      </c>
      <c r="D6" s="265" cm="1">
        <f t="array" ref="D6">SUMIF('📊 Portfolio Brief'!$C$11:$C$39,"MICROFINANCE",'📊 Portfolio Brief'!$G$11:$G$39)</f>
        <v>1066485.8878</v>
      </c>
      <c r="E6" s="265" cm="1">
        <f t="array" ref="E6">SUMIF('📊 Portfolio Brief'!$C$11:$C$39,"MICROFINANCE",'📊 Portfolio Brief'!$H$11:$H$39)</f>
        <v>1264825.98</v>
      </c>
      <c r="F6" s="266" cm="1">
        <f t="array" ref="F6">E6-D6</f>
        <v>198340.0922</v>
      </c>
      <c r="G6" s="267" cm="1">
        <f t="array" ref="G6">IF(D6=0,0,F6/D6)</f>
        <v>0.185975355575633</v>
      </c>
      <c r="H6" s="433" cm="1">
        <f t="array" ref="H6">IF(SUM(E5:E19)=0,0,E6/SUM(E5:E19))</f>
        <v>0.124984979728689</v>
      </c>
    </row>
    <row r="7" ht="15.75" customHeight="1">
      <c r="A7" s="7"/>
      <c r="B7" t="s" s="260">
        <v>78</v>
      </c>
      <c r="C7" s="432" cm="1">
        <f t="array" ref="C7">COUNTIF('📊 Portfolio Brief'!$C$11:$C$39,"ETF")</f>
        <v>2</v>
      </c>
      <c r="D7" s="265" cm="1">
        <f t="array" ref="D7">SUMIF('📊 Portfolio Brief'!$C$11:$C$39,"ETF",'📊 Portfolio Brief'!$G$11:$G$39)</f>
        <v>789934.4</v>
      </c>
      <c r="E7" s="265" cm="1">
        <f t="array" ref="E7">SUMIF('📊 Portfolio Brief'!$C$11:$C$39,"ETF",'📊 Portfolio Brief'!$H$11:$H$39)</f>
        <v>1241900</v>
      </c>
      <c r="F7" s="266" cm="1">
        <f t="array" ref="F7">E7-D7</f>
        <v>451965.6</v>
      </c>
      <c r="G7" s="267" cm="1">
        <f t="array" ref="G7">IF(D7=0,0,F7/D7)</f>
        <v>0.572155865094621</v>
      </c>
      <c r="H7" s="433" cm="1">
        <f t="array" ref="H7">IF(SUM(E5:E19)=0,0,E7/SUM(E5:E19))</f>
        <v>0.122719527254697</v>
      </c>
    </row>
    <row r="8" ht="15.75" customHeight="1">
      <c r="A8" s="7"/>
      <c r="B8" t="s" s="260">
        <v>97</v>
      </c>
      <c r="C8" s="432" cm="1">
        <f t="array" ref="C8">COUNTIF('📊 Portfolio Brief'!$C$11:$C$39,"HEALTHCARE")</f>
        <v>3</v>
      </c>
      <c r="D8" s="265" cm="1">
        <f t="array" ref="D8">SUMIF('📊 Portfolio Brief'!$C$11:$C$39,"HEALTHCARE",'📊 Portfolio Brief'!$G$11:$G$39)</f>
        <v>899577.311</v>
      </c>
      <c r="E8" s="265" cm="1">
        <f t="array" ref="E8">SUMIF('📊 Portfolio Brief'!$C$11:$C$39,"HEALTHCARE",'📊 Portfolio Brief'!$H$11:$H$39)</f>
        <v>973084.5</v>
      </c>
      <c r="F8" s="266" cm="1">
        <f t="array" ref="F8">E8-D8</f>
        <v>73507.189</v>
      </c>
      <c r="G8" s="267" cm="1">
        <f t="array" ref="G8">IF(D8=0,0,F8/D8)</f>
        <v>0.08171303133277889</v>
      </c>
      <c r="H8" s="433" cm="1">
        <f t="array" ref="H8">IF(SUM(E5:E19)=0,0,E8/SUM(E5:E19))</f>
        <v>0.09615626847481509</v>
      </c>
    </row>
    <row r="9" ht="15.75" customHeight="1">
      <c r="A9" s="7"/>
      <c r="B9" t="s" s="260">
        <v>91</v>
      </c>
      <c r="C9" s="432" cm="1">
        <f t="array" ref="C9">COUNTIF('📊 Portfolio Brief'!$C$11:$C$39,"FMCG")</f>
        <v>2</v>
      </c>
      <c r="D9" s="265" cm="1">
        <f t="array" ref="D9">SUMIF('📊 Portfolio Brief'!$C$11:$C$39,"FMCG",'📊 Portfolio Brief'!$G$11:$G$39)</f>
        <v>759780.75</v>
      </c>
      <c r="E9" s="265" cm="1">
        <f t="array" ref="E9">SUMIF('📊 Portfolio Brief'!$C$11:$C$39,"FMCG",'📊 Portfolio Brief'!$H$11:$H$39)</f>
        <v>814065</v>
      </c>
      <c r="F9" s="266" cm="1">
        <f t="array" ref="F9">E9-D9</f>
        <v>54284.25</v>
      </c>
      <c r="G9" s="267" cm="1">
        <f t="array" ref="G9">IF(D9=0,0,F9/D9)</f>
        <v>0.0714472563301979</v>
      </c>
      <c r="H9" s="433" cm="1">
        <f t="array" ref="H9">IF(SUM(E5:E19)=0,0,E9/SUM(E5:E19))</f>
        <v>0.0804426056482766</v>
      </c>
    </row>
    <row r="10" ht="15.75" customHeight="1">
      <c r="A10" s="7"/>
      <c r="B10" t="s" s="260">
        <v>611</v>
      </c>
      <c r="C10" s="432" cm="1">
        <f t="array" ref="C10">COUNTIF('📊 Portfolio Brief'!$C$11:$C$39,"CONSUMER LENDING")</f>
        <v>1</v>
      </c>
      <c r="D10" s="265" cm="1">
        <f t="array" ref="D10">SUMIF('📊 Portfolio Brief'!$C$11:$C$39,"CONSUMER LENDING",'📊 Portfolio Brief'!$G$11:$G$39)</f>
        <v>495000</v>
      </c>
      <c r="E10" s="265" cm="1">
        <f t="array" ref="E10">SUMIF('📊 Portfolio Brief'!$C$11:$C$39,"CONSUMER LENDING",'📊 Portfolio Brief'!$H$11:$H$39)</f>
        <v>708825</v>
      </c>
      <c r="F10" s="266" cm="1">
        <f t="array" ref="F10">E10-D10</f>
        <v>213825</v>
      </c>
      <c r="G10" s="267" cm="1">
        <f t="array" ref="G10">IF(D10=0,0,F10/D10)</f>
        <v>0.431969696969697</v>
      </c>
      <c r="H10" s="433" cm="1">
        <f t="array" ref="H10">IF(SUM(E5:E19)=0,0,E10/SUM(E5:E19))</f>
        <v>0.0700432151592805</v>
      </c>
    </row>
    <row r="11" ht="15.75" customHeight="1">
      <c r="A11" s="7"/>
      <c r="B11" t="s" s="260">
        <v>95</v>
      </c>
      <c r="C11" s="432" cm="1">
        <f t="array" ref="C11">COUNTIF('📊 Portfolio Brief'!$C$11:$C$39,"ENGINEERING &amp; CAPITAL GOODS")</f>
        <v>2</v>
      </c>
      <c r="D11" s="265" cm="1">
        <f t="array" ref="D11">SUMIF('📊 Portfolio Brief'!$C$11:$C$39,"ENGINEERING &amp; CAPITAL GOODS",'📊 Portfolio Brief'!$G$11:$G$39)</f>
        <v>570392.041</v>
      </c>
      <c r="E11" s="265" cm="1">
        <f t="array" ref="E11">SUMIF('📊 Portfolio Brief'!$C$11:$C$39,"ENGINEERING &amp; CAPITAL GOODS",'📊 Portfolio Brief'!$H$11:$H$39)</f>
        <v>682056</v>
      </c>
      <c r="F11" s="266" cm="1">
        <f t="array" ref="F11">E11-D11</f>
        <v>111663.959</v>
      </c>
      <c r="G11" s="267" cm="1">
        <f t="array" ref="G11">IF(D11=0,0,F11/D11)</f>
        <v>0.195767035606305</v>
      </c>
      <c r="H11" s="433" cm="1">
        <f t="array" ref="H11">IF(SUM(E5:E19)=0,0,E11/SUM(E5:E19))</f>
        <v>0.06739801101636959</v>
      </c>
    </row>
    <row r="12" ht="15.75" customHeight="1">
      <c r="A12" s="7"/>
      <c r="B12" t="s" s="260">
        <v>612</v>
      </c>
      <c r="C12" s="432" cm="1">
        <f t="array" ref="C12">COUNTIF('📊 Portfolio Brief'!$C$11:$C$39,"HOUSING FINANCE")</f>
        <v>2</v>
      </c>
      <c r="D12" s="265" cm="1">
        <f t="array" ref="D12">SUMIF('📊 Portfolio Brief'!$C$11:$C$39,"HOUSING FINANCE",'📊 Portfolio Brief'!$G$11:$G$39)</f>
        <v>587559.0419</v>
      </c>
      <c r="E12" s="265" cm="1">
        <f t="array" ref="E12">SUMIF('📊 Portfolio Brief'!$C$11:$C$39,"HOUSING FINANCE",'📊 Portfolio Brief'!$H$11:$H$39)</f>
        <v>675936.65</v>
      </c>
      <c r="F12" s="266" cm="1">
        <f t="array" ref="F12">E12-D12</f>
        <v>88377.6081</v>
      </c>
      <c r="G12" s="267" cm="1">
        <f t="array" ref="G12">IF(D12=0,0,F12/D12)</f>
        <v>0.15041485501476</v>
      </c>
      <c r="H12" s="433" cm="1">
        <f t="array" ref="H12">IF(SUM(E5:E19)=0,0,E12/SUM(E5:E19))</f>
        <v>0.06679332163791241</v>
      </c>
    </row>
    <row r="13" ht="15.75" customHeight="1">
      <c r="A13" s="7"/>
      <c r="B13" t="s" s="260">
        <v>111</v>
      </c>
      <c r="C13" s="432" cm="1">
        <f t="array" ref="C13">COUNTIF('📊 Portfolio Brief'!$C$11:$C$39,"SOFTWARE SERVICES")</f>
        <v>3</v>
      </c>
      <c r="D13" s="265" cm="1">
        <f t="array" ref="D13">SUMIF('📊 Portfolio Brief'!$C$11:$C$39,"SOFTWARE SERVICES",'📊 Portfolio Brief'!$G$11:$G$39)</f>
        <v>629447.28</v>
      </c>
      <c r="E13" s="265" cm="1">
        <f t="array" ref="E13">SUMIF('📊 Portfolio Brief'!$C$11:$C$39,"SOFTWARE SERVICES",'📊 Portfolio Brief'!$H$11:$H$39)</f>
        <v>555600</v>
      </c>
      <c r="F13" s="266" cm="1">
        <f t="array" ref="F13">E13-D13</f>
        <v>-73847.28</v>
      </c>
      <c r="G13" s="267" cm="1">
        <f t="array" ref="G13">IF(D13=0,0,F13/D13)</f>
        <v>-0.117320834240478</v>
      </c>
      <c r="H13" s="433" cm="1">
        <f t="array" ref="H13">IF(SUM(E5:E19)=0,0,E13/SUM(E5:E19))</f>
        <v>0.0549021413501163</v>
      </c>
    </row>
    <row r="14" ht="15.75" customHeight="1">
      <c r="A14" s="7"/>
      <c r="B14" t="s" s="260">
        <v>85</v>
      </c>
      <c r="C14" s="432" cm="1">
        <f t="array" ref="C14">COUNTIF('📊 Portfolio Brief'!$C$11:$C$39,"METALS")</f>
        <v>1</v>
      </c>
      <c r="D14" s="265" cm="1">
        <f t="array" ref="D14">SUMIF('📊 Portfolio Brief'!$C$11:$C$39,"METALS",'📊 Portfolio Brief'!$G$11:$G$39)</f>
        <v>466703.28</v>
      </c>
      <c r="E14" s="265" cm="1">
        <f t="array" ref="E14">SUMIF('📊 Portfolio Brief'!$C$11:$C$39,"METALS",'📊 Portfolio Brief'!$H$11:$H$39)</f>
        <v>522180</v>
      </c>
      <c r="F14" s="266" cm="1">
        <f t="array" ref="F14">E14-D14</f>
        <v>55476.72</v>
      </c>
      <c r="G14" s="267" cm="1">
        <f t="array" ref="G14">IF(D14=0,0,F14/D14)</f>
        <v>0.118869359563961</v>
      </c>
      <c r="H14" s="433" cm="1">
        <f t="array" ref="H14">IF(SUM(E5:E19)=0,0,E14/SUM(E5:E19))</f>
        <v>0.0515997123293804</v>
      </c>
    </row>
    <row r="15" ht="15.75" customHeight="1">
      <c r="A15" s="7"/>
      <c r="B15" t="s" s="260">
        <v>100</v>
      </c>
      <c r="C15" s="432" cm="1">
        <f t="array" ref="C15">COUNTIF('📊 Portfolio Brief'!$C$11:$C$39,"DEFENCE")</f>
        <v>1</v>
      </c>
      <c r="D15" s="265" cm="1">
        <f t="array" ref="D15">SUMIF('📊 Portfolio Brief'!$C$11:$C$39,"DEFENCE",'📊 Portfolio Brief'!$G$11:$G$39)</f>
        <v>377433.1125</v>
      </c>
      <c r="E15" s="265" cm="1">
        <f t="array" ref="E15">SUMIF('📊 Portfolio Brief'!$C$11:$C$39,"DEFENCE",'📊 Portfolio Brief'!$H$11:$H$39)</f>
        <v>373331.25</v>
      </c>
      <c r="F15" s="266" cm="1">
        <f t="array" ref="F15">E15-D15</f>
        <v>-4101.8625</v>
      </c>
      <c r="G15" s="267" cm="1">
        <f t="array" ref="G15">IF(D15=0,0,F15/D15)</f>
        <v>-0.0108677865405887</v>
      </c>
      <c r="H15" s="433" cm="1">
        <f t="array" ref="H15">IF(SUM(E5:E19)=0,0,E15/SUM(E5:E19))</f>
        <v>0.0368910818177027</v>
      </c>
    </row>
    <row r="16" ht="15.75" customHeight="1">
      <c r="A16" s="7"/>
      <c r="B16" t="s" s="260">
        <v>102</v>
      </c>
      <c r="C16" s="432" cm="1">
        <f t="array" ref="C16">COUNTIF('📊 Portfolio Brief'!$C$11:$C$39,"FERTILIZERS")</f>
        <v>1</v>
      </c>
      <c r="D16" s="265" cm="1">
        <f t="array" ref="D16">SUMIF('📊 Portfolio Brief'!$C$11:$C$39,"FERTILIZERS",'📊 Portfolio Brief'!$G$11:$G$39)</f>
        <v>401518.665</v>
      </c>
      <c r="E16" s="265" cm="1">
        <f t="array" ref="E16">SUMIF('📊 Portfolio Brief'!$C$11:$C$39,"FERTILIZERS",'📊 Portfolio Brief'!$H$11:$H$39)</f>
        <v>366605</v>
      </c>
      <c r="F16" s="266" cm="1">
        <f t="array" ref="F16">E16-D16</f>
        <v>-34913.665</v>
      </c>
      <c r="G16" s="267" cm="1">
        <f t="array" ref="G16">IF(D16=0,0,F16/D16)</f>
        <v>-0.08695402740492771</v>
      </c>
      <c r="H16" s="433" cm="1">
        <f t="array" ref="H16">IF(SUM(E5:E19)=0,0,E16/SUM(E5:E19))</f>
        <v>0.0362264210397037</v>
      </c>
    </row>
    <row r="17" ht="15.75" customHeight="1">
      <c r="A17" s="7"/>
      <c r="B17" t="s" s="260">
        <v>613</v>
      </c>
      <c r="C17" s="432" cm="1">
        <f t="array" ref="C17">COUNTIF('📊 Portfolio Brief'!$C$11:$C$39,"MARKET INFRASTRUCTURE")</f>
        <v>1</v>
      </c>
      <c r="D17" s="265" cm="1">
        <f t="array" ref="D17">SUMIF('📊 Portfolio Brief'!$C$11:$C$39,"MARKET INFRASTRUCTURE",'📊 Portfolio Brief'!$G$11:$G$39)</f>
        <v>317821.005</v>
      </c>
      <c r="E17" s="265" cm="1">
        <f t="array" ref="E17">SUMIF('📊 Portfolio Brief'!$C$11:$C$39,"MARKET INFRASTRUCTURE",'📊 Portfolio Brief'!$H$11:$H$39)</f>
        <v>283657.5</v>
      </c>
      <c r="F17" s="266" cm="1">
        <f t="array" ref="F17">E17-D17</f>
        <v>-34163.505</v>
      </c>
      <c r="G17" s="267" cm="1">
        <f t="array" ref="G17">IF(D17=0,0,F17/D17)</f>
        <v>-0.10749291098617</v>
      </c>
      <c r="H17" s="433" cm="1">
        <f t="array" ref="H17">IF(SUM(E5:E19)=0,0,E17/SUM(E5:E19))</f>
        <v>0.0280298850972294</v>
      </c>
    </row>
    <row r="18" ht="15.75" customHeight="1">
      <c r="A18" s="7"/>
      <c r="B18" t="s" s="260">
        <v>113</v>
      </c>
      <c r="C18" s="432" cm="1">
        <f t="array" ref="C18">COUNTIF('📊 Portfolio Brief'!$C$11:$C$39,"ENERGY")</f>
        <v>1</v>
      </c>
      <c r="D18" s="265" cm="1">
        <f t="array" ref="D18">SUMIF('📊 Portfolio Brief'!$C$11:$C$39,"ENERGY",'📊 Portfolio Brief'!$G$11:$G$39)</f>
        <v>253654.625</v>
      </c>
      <c r="E18" s="265" cm="1">
        <f t="array" ref="E18">SUMIF('📊 Portfolio Brief'!$C$11:$C$39,"ENERGY",'📊 Portfolio Brief'!$H$11:$H$39)</f>
        <v>207532.5</v>
      </c>
      <c r="F18" s="266" cm="1">
        <f t="array" ref="F18">E18-D18</f>
        <v>-46122.125</v>
      </c>
      <c r="G18" s="267" cm="1">
        <f t="array" ref="G18">IF(D18=0,0,F18/D18)</f>
        <v>-0.181830412120418</v>
      </c>
      <c r="H18" s="433" cm="1">
        <f t="array" ref="H18">IF(SUM(E5:E19)=0,0,E18/SUM(E5:E19))</f>
        <v>0.02050752096786</v>
      </c>
    </row>
    <row r="19" ht="15.75" customHeight="1">
      <c r="A19" s="7"/>
      <c r="B19" t="s" s="260">
        <v>119</v>
      </c>
      <c r="C19" s="432" cm="1">
        <f t="array" ref="C19">COUNTIF('📊 Portfolio Brief'!$C$11:$C$39,"SOVEREIGN GOLD BOND")</f>
        <v>1</v>
      </c>
      <c r="D19" s="265" cm="1">
        <f t="array" ref="D19">SUMIF('📊 Portfolio Brief'!$C$11:$C$39,"SOVEREIGN GOLD BOND",'📊 Portfolio Brief'!$G$11:$G$39)</f>
        <v>97577.759999999995</v>
      </c>
      <c r="E19" s="265" cm="1">
        <f t="array" ref="E19">SUMIF('📊 Portfolio Brief'!$C$11:$C$39,"SOVEREIGN GOLD BOND",'📊 Portfolio Brief'!$H$11:$H$39)</f>
        <v>98356.98</v>
      </c>
      <c r="F19" s="266" cm="1">
        <f t="array" ref="F19">E19-D19</f>
        <v>779.22</v>
      </c>
      <c r="G19" s="267" cm="1">
        <f t="array" ref="G19">IF(D19=0,0,F19/D19)</f>
        <v>0.007985631152016609</v>
      </c>
      <c r="H19" s="433" cm="1">
        <f t="array" ref="H19">IF(SUM(E5:E19)=0,0,E19/SUM(E5:E19))</f>
        <v>0.00971923833464825</v>
      </c>
    </row>
    <row r="20" ht="15" customHeight="1">
      <c r="A20" s="12"/>
      <c r="B20" s="300"/>
      <c r="C20" s="300"/>
      <c r="D20" s="300"/>
      <c r="E20" s="300"/>
      <c r="F20" s="300"/>
      <c r="G20" s="300"/>
      <c r="H20" s="301"/>
    </row>
    <row r="21" ht="18" customHeight="1">
      <c r="A21" s="7"/>
      <c r="B21" t="s" s="292">
        <v>614</v>
      </c>
      <c r="C21" s="434" cm="1">
        <f t="array" ref="C21">SUM(C5,C6,C10,C12,C17)</f>
        <v>10</v>
      </c>
      <c r="D21" s="435" cm="1">
        <f t="array" ref="D21">SUM(D5,D6,D10,D12,D17)</f>
        <v>3543986.3697</v>
      </c>
      <c r="E21" s="435" cm="1">
        <f t="array" ref="E21">SUM(E5,E6,E10,E12,E17)</f>
        <v>4285112.63</v>
      </c>
      <c r="F21" s="266" cm="1">
        <f t="array" ref="F21">E21-D21</f>
        <v>741126.2603</v>
      </c>
      <c r="G21" s="267" cm="1">
        <f t="array" ref="G21">IF(D21=0,0,F21/D21)</f>
        <v>0.209122209565026</v>
      </c>
      <c r="H21" s="436" cm="1">
        <f t="array" ref="H21">IF(SUM(E5:E19)=0,0,E21/SUM(E5:E19))</f>
        <v>0.423437471766431</v>
      </c>
    </row>
    <row r="22" ht="15" customHeight="1">
      <c r="A22" s="12"/>
      <c r="B22" s="300"/>
      <c r="C22" s="300"/>
      <c r="D22" s="300"/>
      <c r="E22" s="300"/>
      <c r="F22" s="300"/>
      <c r="G22" s="300"/>
      <c r="H22" s="301"/>
    </row>
    <row r="23" ht="18" customHeight="1">
      <c r="A23" s="291"/>
      <c r="B23" t="s" s="292">
        <v>615</v>
      </c>
      <c r="C23" s="293">
        <v>29</v>
      </c>
      <c r="D23" s="295" cm="1">
        <f t="array" ref="D23">SUM(D5:D22)</f>
        <v>12333991.9639</v>
      </c>
      <c r="E23" s="295" cm="1">
        <f t="array" ref="E23">SUM(E5:E22)</f>
        <v>14404936.49</v>
      </c>
      <c r="F23" s="296" cm="1">
        <f t="array" ref="F23">E23-D23</f>
        <v>2070944.5261</v>
      </c>
      <c r="G23" s="294" cm="1">
        <f t="array" ref="G23">F23/D23</f>
        <v>0.167905454467733</v>
      </c>
      <c r="H23" s="294">
        <v>1</v>
      </c>
    </row>
  </sheetData>
  <mergeCells count="2">
    <mergeCell ref="B1:H1"/>
    <mergeCell ref="B2:H2"/>
  </mergeCells>
  <conditionalFormatting sqref="F5:G19 F21:G21">
    <cfRule type="cellIs" dxfId="4" priority="1" operator="lessThan" stopIfTrue="1">
      <formula>0</formula>
    </cfRule>
  </conditionalFormatting>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66667" defaultRowHeight="15" customHeight="1" outlineLevelRow="0" outlineLevelCol="0"/>
  <cols>
    <col min="1" max="1" width="2" style="437" customWidth="1"/>
    <col min="2" max="2" width="26" style="437" customWidth="1"/>
    <col min="3" max="3" width="62" style="437" customWidth="1"/>
    <col min="4" max="4" width="2" style="437" customWidth="1"/>
    <col min="5" max="5" width="8.67188" style="437" customWidth="1"/>
    <col min="6" max="16384" width="8.67188" style="437" customWidth="1"/>
  </cols>
  <sheetData>
    <row r="1" ht="15" customHeight="1">
      <c r="A1" s="438"/>
      <c r="B1" s="439"/>
      <c r="C1" s="439"/>
      <c r="D1" s="105"/>
      <c r="E1" s="105"/>
    </row>
    <row r="2" ht="30" customHeight="1">
      <c r="A2" s="440"/>
      <c r="B2" t="s" s="441">
        <v>616</v>
      </c>
      <c r="C2" s="442"/>
      <c r="D2" s="443"/>
      <c r="E2" s="105"/>
    </row>
    <row r="3" ht="13.5" customHeight="1">
      <c r="A3" s="440"/>
      <c r="B3" t="s" s="444">
        <v>617</v>
      </c>
      <c r="C3" s="445"/>
      <c r="D3" s="443"/>
      <c r="E3" s="105"/>
    </row>
    <row r="4" ht="15" customHeight="1">
      <c r="A4" s="438"/>
      <c r="B4" s="446"/>
      <c r="C4" s="446"/>
      <c r="D4" s="105"/>
      <c r="E4" s="105"/>
    </row>
    <row r="5" ht="15" customHeight="1">
      <c r="A5" s="438"/>
      <c r="B5" s="439"/>
      <c r="C5" s="439"/>
      <c r="D5" s="105"/>
      <c r="E5" s="105"/>
    </row>
    <row r="6" ht="90" customHeight="1">
      <c r="A6" s="440"/>
      <c r="B6" t="s" s="447">
        <v>618</v>
      </c>
      <c r="C6" t="s" s="448">
        <v>619</v>
      </c>
      <c r="D6" s="443"/>
      <c r="E6" s="105"/>
    </row>
    <row r="7" ht="90" customHeight="1">
      <c r="A7" s="440"/>
      <c r="B7" t="s" s="449">
        <v>620</v>
      </c>
      <c r="C7" t="s" s="450">
        <v>621</v>
      </c>
      <c r="D7" s="443"/>
      <c r="E7" s="105"/>
    </row>
    <row r="8" ht="90" customHeight="1">
      <c r="A8" s="440"/>
      <c r="B8" t="s" s="451">
        <v>622</v>
      </c>
      <c r="C8" t="s" s="450">
        <v>623</v>
      </c>
      <c r="D8" s="443"/>
      <c r="E8" s="105"/>
    </row>
    <row r="9" ht="90" customHeight="1">
      <c r="A9" s="440"/>
      <c r="B9" t="s" s="452">
        <v>624</v>
      </c>
      <c r="C9" t="s" s="453">
        <v>625</v>
      </c>
      <c r="D9" s="443"/>
      <c r="E9" s="105"/>
    </row>
    <row r="10" ht="90" customHeight="1">
      <c r="A10" s="440"/>
      <c r="B10" t="s" s="447">
        <v>626</v>
      </c>
      <c r="C10" t="s" s="448">
        <v>627</v>
      </c>
      <c r="D10" s="443"/>
      <c r="E10" s="105"/>
    </row>
    <row r="11" ht="90" customHeight="1">
      <c r="A11" s="440"/>
      <c r="B11" t="s" s="454">
        <v>628</v>
      </c>
      <c r="C11" t="s" s="453">
        <v>629</v>
      </c>
      <c r="D11" s="443"/>
      <c r="E11" s="105"/>
    </row>
    <row r="12" ht="15" customHeight="1">
      <c r="A12" s="438"/>
      <c r="B12" s="455"/>
      <c r="C12" s="455"/>
      <c r="D12" s="105"/>
      <c r="E12" s="105"/>
    </row>
    <row r="13" ht="13.5" customHeight="1">
      <c r="A13" s="440"/>
      <c r="B13" t="s" s="456">
        <v>630</v>
      </c>
      <c r="C13" s="457"/>
      <c r="D13" s="443"/>
      <c r="E13" s="105"/>
    </row>
  </sheetData>
  <mergeCells count="3">
    <mergeCell ref="B2:C2"/>
    <mergeCell ref="B3:C3"/>
    <mergeCell ref="B13:C13"/>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66667" defaultRowHeight="15" customHeight="1" outlineLevelRow="0" outlineLevelCol="0"/>
  <cols>
    <col min="1" max="1" width="2" style="458" customWidth="1"/>
    <col min="2" max="2" width="26" style="458" customWidth="1"/>
    <col min="3" max="3" width="62" style="458" customWidth="1"/>
    <col min="4" max="4" width="2" style="458" customWidth="1"/>
    <col min="5" max="5" width="8.67188" style="458" customWidth="1"/>
    <col min="6" max="16384" width="8.67188" style="458" customWidth="1"/>
  </cols>
  <sheetData>
    <row r="1" ht="15" customHeight="1">
      <c r="A1" s="438"/>
      <c r="B1" s="439"/>
      <c r="C1" s="439"/>
      <c r="D1" s="105"/>
      <c r="E1" s="105"/>
    </row>
    <row r="2" ht="30" customHeight="1">
      <c r="A2" s="440"/>
      <c r="B2" t="s" s="459">
        <v>631</v>
      </c>
      <c r="C2" s="460"/>
      <c r="D2" s="443"/>
      <c r="E2" s="105"/>
    </row>
    <row r="3" ht="13.5" customHeight="1">
      <c r="A3" s="440"/>
      <c r="B3" t="s" s="444">
        <v>632</v>
      </c>
      <c r="C3" s="445"/>
      <c r="D3" s="443"/>
      <c r="E3" s="105"/>
    </row>
    <row r="4" ht="9.75" customHeight="1">
      <c r="A4" s="438"/>
      <c r="B4" s="455"/>
      <c r="C4" s="455"/>
      <c r="D4" s="105"/>
      <c r="E4" s="105"/>
    </row>
    <row r="5" ht="30" customHeight="1">
      <c r="A5" s="440"/>
      <c r="B5" t="s" s="454">
        <v>633</v>
      </c>
      <c r="C5" s="461"/>
      <c r="D5" s="443"/>
      <c r="E5" s="105"/>
    </row>
    <row r="6" ht="15" customHeight="1">
      <c r="A6" s="438"/>
      <c r="B6" s="455"/>
      <c r="C6" s="455"/>
      <c r="D6" s="105"/>
      <c r="E6" s="105"/>
    </row>
    <row r="7" ht="94.5" customHeight="1">
      <c r="A7" s="440"/>
      <c r="B7" t="s" s="452">
        <v>634</v>
      </c>
      <c r="C7" t="s" s="453">
        <v>635</v>
      </c>
      <c r="D7" s="443"/>
      <c r="E7" s="105"/>
    </row>
    <row r="8" ht="94.5" customHeight="1">
      <c r="A8" s="440"/>
      <c r="B8" t="s" s="449">
        <v>636</v>
      </c>
      <c r="C8" t="s" s="450">
        <v>637</v>
      </c>
      <c r="D8" s="443"/>
      <c r="E8" s="105"/>
    </row>
    <row r="9" ht="94.5" customHeight="1">
      <c r="A9" s="440"/>
      <c r="B9" t="s" s="462">
        <v>638</v>
      </c>
      <c r="C9" t="s" s="463">
        <v>639</v>
      </c>
      <c r="D9" s="443"/>
      <c r="E9" s="105"/>
    </row>
    <row r="10" ht="94.5" customHeight="1">
      <c r="A10" s="440"/>
      <c r="B10" t="s" s="449">
        <v>640</v>
      </c>
      <c r="C10" t="s" s="450">
        <v>641</v>
      </c>
      <c r="D10" s="443"/>
      <c r="E10" s="105"/>
    </row>
    <row r="11" ht="94.5" customHeight="1">
      <c r="A11" s="440"/>
      <c r="B11" t="s" s="452">
        <v>642</v>
      </c>
      <c r="C11" t="s" s="453">
        <v>643</v>
      </c>
      <c r="D11" s="443"/>
      <c r="E11" s="105"/>
    </row>
    <row r="12" ht="94.5" customHeight="1">
      <c r="A12" s="440"/>
      <c r="B12" t="s" s="464">
        <v>644</v>
      </c>
      <c r="C12" t="s" s="453">
        <v>645</v>
      </c>
      <c r="D12" s="443"/>
      <c r="E12" s="105"/>
    </row>
    <row r="13" ht="94.5" customHeight="1">
      <c r="A13" s="440"/>
      <c r="B13" t="s" s="452">
        <v>646</v>
      </c>
      <c r="C13" t="s" s="453">
        <v>647</v>
      </c>
      <c r="D13" s="443"/>
      <c r="E13" s="105"/>
    </row>
    <row r="14" ht="94.5" customHeight="1">
      <c r="A14" s="440"/>
      <c r="B14" t="s" s="465">
        <v>648</v>
      </c>
      <c r="C14" t="s" s="463">
        <v>649</v>
      </c>
      <c r="D14" s="443"/>
      <c r="E14" s="105"/>
    </row>
    <row r="15" ht="94.5" customHeight="1">
      <c r="A15" s="440"/>
      <c r="B15" t="s" s="454">
        <v>650</v>
      </c>
      <c r="C15" t="s" s="453">
        <v>651</v>
      </c>
      <c r="D15" s="443"/>
      <c r="E15" s="105"/>
    </row>
    <row r="16" ht="15" customHeight="1">
      <c r="A16" s="438"/>
      <c r="B16" s="455"/>
      <c r="C16" s="455"/>
      <c r="D16" s="105"/>
      <c r="E16" s="105"/>
    </row>
    <row r="17" ht="13.5" customHeight="1">
      <c r="A17" s="440"/>
      <c r="B17" t="s" s="456">
        <v>652</v>
      </c>
      <c r="C17" s="457"/>
      <c r="D17" s="443"/>
      <c r="E17" s="105"/>
    </row>
  </sheetData>
  <mergeCells count="4">
    <mergeCell ref="B2:C2"/>
    <mergeCell ref="B3:C3"/>
    <mergeCell ref="B5:C5"/>
    <mergeCell ref="B17:C17"/>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I55"/>
  <sheetViews>
    <sheetView workbookViewId="0" showGridLines="0" defaultGridColor="1"/>
  </sheetViews>
  <sheetFormatPr defaultColWidth="8.66667" defaultRowHeight="15" customHeight="1" outlineLevelRow="0" outlineLevelCol="0"/>
  <cols>
    <col min="1" max="1" width="2" style="466" customWidth="1"/>
    <col min="2" max="2" width="18" style="466" customWidth="1"/>
    <col min="3" max="3" width="22" style="466" customWidth="1"/>
    <col min="4" max="5" width="14" style="466" customWidth="1"/>
    <col min="6" max="8" width="12" style="466" customWidth="1"/>
    <col min="9" max="9" width="42" style="466" customWidth="1"/>
    <col min="10" max="16384" width="8.67188" style="466" customWidth="1"/>
  </cols>
  <sheetData>
    <row r="1" ht="30" customHeight="1">
      <c r="A1" s="2"/>
      <c r="B1" t="s" s="247">
        <v>653</v>
      </c>
      <c r="C1" s="248"/>
      <c r="D1" s="248"/>
      <c r="E1" s="248"/>
      <c r="F1" s="248"/>
      <c r="G1" s="248"/>
      <c r="H1" s="248"/>
      <c r="I1" s="248"/>
    </row>
    <row r="2" ht="13.5" customHeight="1">
      <c r="A2" s="7"/>
      <c r="B2" t="s" s="8">
        <v>654</v>
      </c>
      <c r="C2" s="9"/>
      <c r="D2" s="9"/>
      <c r="E2" s="9"/>
      <c r="F2" s="9"/>
      <c r="G2" s="9"/>
      <c r="H2" s="9"/>
      <c r="I2" s="9"/>
    </row>
    <row r="3" ht="9.75" customHeight="1">
      <c r="A3" s="12"/>
      <c r="B3" s="300"/>
      <c r="C3" s="300"/>
      <c r="D3" s="300"/>
      <c r="E3" s="300"/>
      <c r="F3" s="300"/>
      <c r="G3" s="300"/>
      <c r="H3" s="300"/>
      <c r="I3" s="301"/>
    </row>
    <row r="4" ht="19.5" customHeight="1">
      <c r="A4" s="7"/>
      <c r="B4" t="s" s="257">
        <v>655</v>
      </c>
      <c r="C4" s="258"/>
      <c r="D4" s="258"/>
      <c r="E4" s="258"/>
      <c r="F4" s="258"/>
      <c r="G4" s="258"/>
      <c r="H4" s="258"/>
      <c r="I4" s="258"/>
    </row>
    <row r="5" ht="18" customHeight="1">
      <c r="A5" s="7"/>
      <c r="B5" t="s" s="57">
        <v>656</v>
      </c>
      <c r="C5" s="467"/>
      <c r="D5" s="467"/>
      <c r="E5" s="467"/>
      <c r="F5" s="467"/>
      <c r="G5" s="467"/>
      <c r="H5" s="467"/>
      <c r="I5" s="467"/>
    </row>
    <row r="6" ht="18" customHeight="1">
      <c r="A6" s="7"/>
      <c r="B6" t="s" s="57">
        <v>657</v>
      </c>
      <c r="C6" s="467"/>
      <c r="D6" s="467"/>
      <c r="E6" s="467"/>
      <c r="F6" s="467"/>
      <c r="G6" s="467"/>
      <c r="H6" s="467"/>
      <c r="I6" s="467"/>
    </row>
    <row r="7" ht="18" customHeight="1">
      <c r="A7" s="7"/>
      <c r="B7" t="s" s="57">
        <v>658</v>
      </c>
      <c r="C7" s="467"/>
      <c r="D7" s="467"/>
      <c r="E7" s="467"/>
      <c r="F7" s="467"/>
      <c r="G7" s="467"/>
      <c r="H7" s="467"/>
      <c r="I7" s="467"/>
    </row>
    <row r="8" ht="18" customHeight="1">
      <c r="A8" s="7"/>
      <c r="B8" t="s" s="57">
        <v>659</v>
      </c>
      <c r="C8" s="467"/>
      <c r="D8" s="467"/>
      <c r="E8" s="467"/>
      <c r="F8" s="467"/>
      <c r="G8" s="467"/>
      <c r="H8" s="467"/>
      <c r="I8" s="467"/>
    </row>
    <row r="9" ht="18" customHeight="1">
      <c r="A9" s="7"/>
      <c r="B9" t="s" s="57">
        <v>660</v>
      </c>
      <c r="C9" s="467"/>
      <c r="D9" s="467"/>
      <c r="E9" s="467"/>
      <c r="F9" s="467"/>
      <c r="G9" s="467"/>
      <c r="H9" s="467"/>
      <c r="I9" s="467"/>
    </row>
    <row r="10" ht="13.5" customHeight="1">
      <c r="A10" s="12"/>
      <c r="B10" s="300"/>
      <c r="C10" s="300"/>
      <c r="D10" s="300"/>
      <c r="E10" s="300"/>
      <c r="F10" s="300"/>
      <c r="G10" s="300"/>
      <c r="H10" s="300"/>
      <c r="I10" s="301"/>
    </row>
    <row r="11" ht="24" customHeight="1">
      <c r="A11" s="7"/>
      <c r="B11" t="s" s="468">
        <v>661</v>
      </c>
      <c r="C11" s="469"/>
      <c r="D11" s="469"/>
      <c r="E11" s="469"/>
      <c r="F11" s="469"/>
      <c r="G11" s="469"/>
      <c r="H11" s="469"/>
      <c r="I11" s="469"/>
    </row>
    <row r="12" ht="15.75" customHeight="1">
      <c r="A12" s="7"/>
      <c r="B12" t="s" s="260">
        <v>662</v>
      </c>
      <c r="C12" s="260"/>
      <c r="D12" t="s" s="260">
        <v>663</v>
      </c>
      <c r="E12" s="260"/>
      <c r="F12" s="260"/>
      <c r="G12" s="260"/>
      <c r="H12" s="260"/>
      <c r="I12" s="260"/>
    </row>
    <row r="13" ht="31.5" customHeight="1">
      <c r="A13" s="7"/>
      <c r="B13" t="s" s="470">
        <v>664</v>
      </c>
      <c r="C13" s="471"/>
      <c r="D13" t="s" s="472">
        <v>665</v>
      </c>
      <c r="E13" s="473"/>
      <c r="F13" t="s" s="474">
        <v>666</v>
      </c>
      <c r="G13" s="475"/>
      <c r="H13" s="476"/>
      <c r="I13" s="476"/>
    </row>
    <row r="14" ht="13.5" customHeight="1">
      <c r="A14" s="7"/>
      <c r="B14" t="s" s="477">
        <v>667</v>
      </c>
      <c r="C14" s="478"/>
      <c r="D14" s="478"/>
      <c r="E14" s="478"/>
      <c r="F14" s="478"/>
      <c r="G14" s="478"/>
      <c r="H14" s="478"/>
      <c r="I14" s="478"/>
    </row>
    <row r="15" ht="18" customHeight="1">
      <c r="A15" s="7"/>
      <c r="B15" t="s" s="479">
        <v>668</v>
      </c>
      <c r="C15" s="480"/>
      <c r="D15" s="480"/>
      <c r="E15" s="480"/>
      <c r="F15" s="480"/>
      <c r="G15" s="480"/>
      <c r="H15" s="480"/>
      <c r="I15" s="480"/>
    </row>
    <row r="16" ht="18" customHeight="1">
      <c r="A16" s="7"/>
      <c r="B16" t="s" s="479">
        <v>669</v>
      </c>
      <c r="C16" s="480"/>
      <c r="D16" s="480"/>
      <c r="E16" s="480"/>
      <c r="F16" s="480"/>
      <c r="G16" s="480"/>
      <c r="H16" s="480"/>
      <c r="I16" s="480"/>
    </row>
    <row r="17" ht="18" customHeight="1">
      <c r="A17" s="7"/>
      <c r="B17" t="s" s="479">
        <v>670</v>
      </c>
      <c r="C17" s="480"/>
      <c r="D17" s="480"/>
      <c r="E17" s="480"/>
      <c r="F17" s="480"/>
      <c r="G17" s="480"/>
      <c r="H17" s="480"/>
      <c r="I17" s="480"/>
    </row>
    <row r="18" ht="18" customHeight="1">
      <c r="A18" s="7"/>
      <c r="B18" t="s" s="479">
        <v>671</v>
      </c>
      <c r="C18" s="480"/>
      <c r="D18" s="480"/>
      <c r="E18" s="480"/>
      <c r="F18" s="480"/>
      <c r="G18" s="480"/>
      <c r="H18" s="480"/>
      <c r="I18" s="480"/>
    </row>
    <row r="19" ht="18" customHeight="1">
      <c r="A19" s="7"/>
      <c r="B19" t="s" s="479">
        <v>672</v>
      </c>
      <c r="C19" s="480"/>
      <c r="D19" s="480"/>
      <c r="E19" s="480"/>
      <c r="F19" s="480"/>
      <c r="G19" s="480"/>
      <c r="H19" s="480"/>
      <c r="I19" s="480"/>
    </row>
    <row r="20" ht="18" customHeight="1">
      <c r="A20" s="7"/>
      <c r="B20" t="s" s="479">
        <v>673</v>
      </c>
      <c r="C20" s="480"/>
      <c r="D20" s="480"/>
      <c r="E20" s="480"/>
      <c r="F20" s="480"/>
      <c r="G20" s="480"/>
      <c r="H20" s="480"/>
      <c r="I20" s="480"/>
    </row>
    <row r="21" ht="18" customHeight="1">
      <c r="A21" s="7"/>
      <c r="B21" t="s" s="479">
        <v>674</v>
      </c>
      <c r="C21" s="480"/>
      <c r="D21" s="480"/>
      <c r="E21" s="480"/>
      <c r="F21" s="480"/>
      <c r="G21" s="480"/>
      <c r="H21" s="480"/>
      <c r="I21" s="480"/>
    </row>
    <row r="22" ht="13.5" customHeight="1">
      <c r="A22" s="7"/>
      <c r="B22" t="s" s="481">
        <v>675</v>
      </c>
      <c r="C22" s="482"/>
      <c r="D22" s="482"/>
      <c r="E22" s="482"/>
      <c r="F22" s="482"/>
      <c r="G22" s="482"/>
      <c r="H22" s="482"/>
      <c r="I22" s="482"/>
    </row>
    <row r="23" ht="18" customHeight="1">
      <c r="A23" s="7"/>
      <c r="B23" t="s" s="481">
        <v>676</v>
      </c>
      <c r="C23" s="482"/>
      <c r="D23" s="482"/>
      <c r="E23" s="482"/>
      <c r="F23" s="482"/>
      <c r="G23" s="482"/>
      <c r="H23" s="482"/>
      <c r="I23" s="482"/>
    </row>
    <row r="24" ht="18" customHeight="1">
      <c r="A24" s="7"/>
      <c r="B24" t="s" s="481">
        <v>677</v>
      </c>
      <c r="C24" s="482"/>
      <c r="D24" s="482"/>
      <c r="E24" s="482"/>
      <c r="F24" s="482"/>
      <c r="G24" s="482"/>
      <c r="H24" s="482"/>
      <c r="I24" s="482"/>
    </row>
    <row r="25" ht="15" customHeight="1">
      <c r="A25" s="12"/>
      <c r="B25" s="13"/>
      <c r="C25" s="13"/>
      <c r="D25" s="13"/>
      <c r="E25" s="13"/>
      <c r="F25" s="13"/>
      <c r="G25" s="13"/>
      <c r="H25" s="13"/>
      <c r="I25" s="249"/>
    </row>
    <row r="26" ht="15" customHeight="1">
      <c r="A26" s="12"/>
      <c r="B26" s="255"/>
      <c r="C26" s="255"/>
      <c r="D26" s="255"/>
      <c r="E26" s="255"/>
      <c r="F26" s="255"/>
      <c r="G26" s="255"/>
      <c r="H26" s="255"/>
      <c r="I26" s="256"/>
    </row>
    <row r="27" ht="24" customHeight="1">
      <c r="A27" s="7"/>
      <c r="B27" t="s" s="483">
        <v>678</v>
      </c>
      <c r="C27" s="484"/>
      <c r="D27" s="484"/>
      <c r="E27" s="484"/>
      <c r="F27" s="484"/>
      <c r="G27" s="484"/>
      <c r="H27" s="484"/>
      <c r="I27" s="484"/>
    </row>
    <row r="28" ht="15.75" customHeight="1">
      <c r="A28" s="7"/>
      <c r="B28" t="s" s="260">
        <v>679</v>
      </c>
      <c r="C28" s="260"/>
      <c r="D28" t="s" s="260">
        <v>680</v>
      </c>
      <c r="E28" s="260"/>
      <c r="F28" s="260"/>
      <c r="G28" s="260"/>
      <c r="H28" s="260"/>
      <c r="I28" s="260"/>
    </row>
    <row r="29" ht="31.5" customHeight="1">
      <c r="A29" s="7"/>
      <c r="B29" t="s" s="470">
        <v>681</v>
      </c>
      <c r="C29" s="471"/>
      <c r="D29" t="s" s="472">
        <v>682</v>
      </c>
      <c r="E29" s="473"/>
      <c r="F29" t="s" s="474">
        <v>683</v>
      </c>
      <c r="G29" s="475"/>
      <c r="H29" s="476"/>
      <c r="I29" s="476"/>
    </row>
    <row r="30" ht="13.5" customHeight="1">
      <c r="A30" s="7"/>
      <c r="B30" t="s" s="477">
        <v>667</v>
      </c>
      <c r="C30" s="478"/>
      <c r="D30" s="478"/>
      <c r="E30" s="478"/>
      <c r="F30" s="478"/>
      <c r="G30" s="478"/>
      <c r="H30" s="478"/>
      <c r="I30" s="478"/>
    </row>
    <row r="31" ht="18" customHeight="1">
      <c r="A31" s="7"/>
      <c r="B31" t="s" s="479">
        <v>684</v>
      </c>
      <c r="C31" s="480"/>
      <c r="D31" s="480"/>
      <c r="E31" s="480"/>
      <c r="F31" s="480"/>
      <c r="G31" s="480"/>
      <c r="H31" s="480"/>
      <c r="I31" s="480"/>
    </row>
    <row r="32" ht="18" customHeight="1">
      <c r="A32" s="7"/>
      <c r="B32" t="s" s="479">
        <v>685</v>
      </c>
      <c r="C32" s="480"/>
      <c r="D32" s="480"/>
      <c r="E32" s="480"/>
      <c r="F32" s="480"/>
      <c r="G32" s="480"/>
      <c r="H32" s="480"/>
      <c r="I32" s="480"/>
    </row>
    <row r="33" ht="18" customHeight="1">
      <c r="A33" s="7"/>
      <c r="B33" t="s" s="479">
        <v>686</v>
      </c>
      <c r="C33" s="480"/>
      <c r="D33" s="480"/>
      <c r="E33" s="480"/>
      <c r="F33" s="480"/>
      <c r="G33" s="480"/>
      <c r="H33" s="480"/>
      <c r="I33" s="480"/>
    </row>
    <row r="34" ht="18" customHeight="1">
      <c r="A34" s="7"/>
      <c r="B34" t="s" s="479">
        <v>687</v>
      </c>
      <c r="C34" s="480"/>
      <c r="D34" s="480"/>
      <c r="E34" s="480"/>
      <c r="F34" s="480"/>
      <c r="G34" s="480"/>
      <c r="H34" s="480"/>
      <c r="I34" s="480"/>
    </row>
    <row r="35" ht="18" customHeight="1">
      <c r="A35" s="7"/>
      <c r="B35" t="s" s="479">
        <v>688</v>
      </c>
      <c r="C35" s="480"/>
      <c r="D35" s="480"/>
      <c r="E35" s="480"/>
      <c r="F35" s="480"/>
      <c r="G35" s="480"/>
      <c r="H35" s="480"/>
      <c r="I35" s="480"/>
    </row>
    <row r="36" ht="18" customHeight="1">
      <c r="A36" s="7"/>
      <c r="B36" t="s" s="479">
        <v>689</v>
      </c>
      <c r="C36" s="480"/>
      <c r="D36" s="480"/>
      <c r="E36" s="480"/>
      <c r="F36" s="480"/>
      <c r="G36" s="480"/>
      <c r="H36" s="480"/>
      <c r="I36" s="480"/>
    </row>
    <row r="37" ht="13.5" customHeight="1">
      <c r="A37" s="7"/>
      <c r="B37" t="s" s="481">
        <v>675</v>
      </c>
      <c r="C37" s="482"/>
      <c r="D37" s="482"/>
      <c r="E37" s="482"/>
      <c r="F37" s="482"/>
      <c r="G37" s="482"/>
      <c r="H37" s="482"/>
      <c r="I37" s="482"/>
    </row>
    <row r="38" ht="18" customHeight="1">
      <c r="A38" s="7"/>
      <c r="B38" t="s" s="481">
        <v>690</v>
      </c>
      <c r="C38" s="482"/>
      <c r="D38" s="482"/>
      <c r="E38" s="482"/>
      <c r="F38" s="482"/>
      <c r="G38" s="482"/>
      <c r="H38" s="482"/>
      <c r="I38" s="482"/>
    </row>
    <row r="39" ht="18" customHeight="1">
      <c r="A39" s="7"/>
      <c r="B39" t="s" s="481">
        <v>691</v>
      </c>
      <c r="C39" s="482"/>
      <c r="D39" s="482"/>
      <c r="E39" s="482"/>
      <c r="F39" s="482"/>
      <c r="G39" s="482"/>
      <c r="H39" s="482"/>
      <c r="I39" s="482"/>
    </row>
    <row r="40" ht="15" customHeight="1">
      <c r="A40" s="12"/>
      <c r="B40" s="13"/>
      <c r="C40" s="13"/>
      <c r="D40" s="13"/>
      <c r="E40" s="13"/>
      <c r="F40" s="13"/>
      <c r="G40" s="13"/>
      <c r="H40" s="13"/>
      <c r="I40" s="249"/>
    </row>
    <row r="41" ht="15" customHeight="1">
      <c r="A41" s="12"/>
      <c r="B41" s="255"/>
      <c r="C41" s="255"/>
      <c r="D41" s="255"/>
      <c r="E41" s="255"/>
      <c r="F41" s="255"/>
      <c r="G41" s="255"/>
      <c r="H41" s="255"/>
      <c r="I41" s="256"/>
    </row>
    <row r="42" ht="24" customHeight="1">
      <c r="A42" s="7"/>
      <c r="B42" t="s" s="485">
        <v>692</v>
      </c>
      <c r="C42" s="486"/>
      <c r="D42" s="486"/>
      <c r="E42" s="486"/>
      <c r="F42" s="486"/>
      <c r="G42" s="486"/>
      <c r="H42" s="486"/>
      <c r="I42" s="486"/>
    </row>
    <row r="43" ht="15.75" customHeight="1">
      <c r="A43" s="7"/>
      <c r="B43" t="s" s="260">
        <v>693</v>
      </c>
      <c r="C43" s="260"/>
      <c r="D43" t="s" s="260">
        <v>694</v>
      </c>
      <c r="E43" s="260"/>
      <c r="F43" s="260"/>
      <c r="G43" s="260"/>
      <c r="H43" s="260"/>
      <c r="I43" s="260"/>
    </row>
    <row r="44" ht="31.5" customHeight="1">
      <c r="A44" s="7"/>
      <c r="B44" t="s" s="470">
        <v>695</v>
      </c>
      <c r="C44" s="471"/>
      <c r="D44" t="s" s="472">
        <v>696</v>
      </c>
      <c r="E44" s="473"/>
      <c r="F44" t="s" s="474">
        <v>697</v>
      </c>
      <c r="G44" s="475"/>
      <c r="H44" s="476"/>
      <c r="I44" s="476"/>
    </row>
    <row r="45" ht="13.5" customHeight="1">
      <c r="A45" s="7"/>
      <c r="B45" t="s" s="477">
        <v>667</v>
      </c>
      <c r="C45" s="478"/>
      <c r="D45" s="478"/>
      <c r="E45" s="478"/>
      <c r="F45" s="478"/>
      <c r="G45" s="478"/>
      <c r="H45" s="478"/>
      <c r="I45" s="478"/>
    </row>
    <row r="46" ht="18" customHeight="1">
      <c r="A46" s="7"/>
      <c r="B46" t="s" s="479">
        <v>698</v>
      </c>
      <c r="C46" s="480"/>
      <c r="D46" s="480"/>
      <c r="E46" s="480"/>
      <c r="F46" s="480"/>
      <c r="G46" s="480"/>
      <c r="H46" s="480"/>
      <c r="I46" s="480"/>
    </row>
    <row r="47" ht="18" customHeight="1">
      <c r="A47" s="7"/>
      <c r="B47" t="s" s="479">
        <v>699</v>
      </c>
      <c r="C47" s="480"/>
      <c r="D47" s="480"/>
      <c r="E47" s="480"/>
      <c r="F47" s="480"/>
      <c r="G47" s="480"/>
      <c r="H47" s="480"/>
      <c r="I47" s="480"/>
    </row>
    <row r="48" ht="18" customHeight="1">
      <c r="A48" s="7"/>
      <c r="B48" t="s" s="479">
        <v>700</v>
      </c>
      <c r="C48" s="480"/>
      <c r="D48" s="480"/>
      <c r="E48" s="480"/>
      <c r="F48" s="480"/>
      <c r="G48" s="480"/>
      <c r="H48" s="480"/>
      <c r="I48" s="480"/>
    </row>
    <row r="49" ht="18" customHeight="1">
      <c r="A49" s="7"/>
      <c r="B49" t="s" s="479">
        <v>701</v>
      </c>
      <c r="C49" s="480"/>
      <c r="D49" s="480"/>
      <c r="E49" s="480"/>
      <c r="F49" s="480"/>
      <c r="G49" s="480"/>
      <c r="H49" s="480"/>
      <c r="I49" s="480"/>
    </row>
    <row r="50" ht="18" customHeight="1">
      <c r="A50" s="7"/>
      <c r="B50" t="s" s="479">
        <v>702</v>
      </c>
      <c r="C50" s="480"/>
      <c r="D50" s="480"/>
      <c r="E50" s="480"/>
      <c r="F50" s="480"/>
      <c r="G50" s="480"/>
      <c r="H50" s="480"/>
      <c r="I50" s="480"/>
    </row>
    <row r="51" ht="18" customHeight="1">
      <c r="A51" s="7"/>
      <c r="B51" t="s" s="479">
        <v>703</v>
      </c>
      <c r="C51" s="480"/>
      <c r="D51" s="480"/>
      <c r="E51" s="480"/>
      <c r="F51" s="480"/>
      <c r="G51" s="480"/>
      <c r="H51" s="480"/>
      <c r="I51" s="480"/>
    </row>
    <row r="52" ht="13.5" customHeight="1">
      <c r="A52" s="7"/>
      <c r="B52" t="s" s="481">
        <v>675</v>
      </c>
      <c r="C52" s="482"/>
      <c r="D52" s="482"/>
      <c r="E52" s="482"/>
      <c r="F52" s="482"/>
      <c r="G52" s="482"/>
      <c r="H52" s="482"/>
      <c r="I52" s="482"/>
    </row>
    <row r="53" ht="18" customHeight="1">
      <c r="A53" s="7"/>
      <c r="B53" t="s" s="481">
        <v>704</v>
      </c>
      <c r="C53" s="482"/>
      <c r="D53" s="482"/>
      <c r="E53" s="482"/>
      <c r="F53" s="482"/>
      <c r="G53" s="482"/>
      <c r="H53" s="482"/>
      <c r="I53" s="482"/>
    </row>
    <row r="54" ht="18" customHeight="1">
      <c r="A54" s="7"/>
      <c r="B54" t="s" s="481">
        <v>705</v>
      </c>
      <c r="C54" s="482"/>
      <c r="D54" s="482"/>
      <c r="E54" s="482"/>
      <c r="F54" s="482"/>
      <c r="G54" s="482"/>
      <c r="H54" s="482"/>
      <c r="I54" s="482"/>
    </row>
    <row r="55" ht="18" customHeight="1">
      <c r="A55" s="291"/>
      <c r="B55" t="s" s="481">
        <v>706</v>
      </c>
      <c r="C55" s="482"/>
      <c r="D55" s="482"/>
      <c r="E55" s="482"/>
      <c r="F55" s="482"/>
      <c r="G55" s="482"/>
      <c r="H55" s="482"/>
      <c r="I55" s="482"/>
    </row>
  </sheetData>
  <mergeCells count="61">
    <mergeCell ref="B1:I1"/>
    <mergeCell ref="B2:I2"/>
    <mergeCell ref="B4:I4"/>
    <mergeCell ref="B5:I5"/>
    <mergeCell ref="B6:I6"/>
    <mergeCell ref="B7:I7"/>
    <mergeCell ref="B8:I8"/>
    <mergeCell ref="B9:I9"/>
    <mergeCell ref="B11:I11"/>
    <mergeCell ref="B12:C12"/>
    <mergeCell ref="D12:I12"/>
    <mergeCell ref="B13:C13"/>
    <mergeCell ref="D13:E13"/>
    <mergeCell ref="F13:G13"/>
    <mergeCell ref="H13:I13"/>
    <mergeCell ref="B14:I14"/>
    <mergeCell ref="B15:I15"/>
    <mergeCell ref="B16:I16"/>
    <mergeCell ref="B17:I17"/>
    <mergeCell ref="B18:I18"/>
    <mergeCell ref="B19:I19"/>
    <mergeCell ref="B20:I20"/>
    <mergeCell ref="B21:I21"/>
    <mergeCell ref="B22:I22"/>
    <mergeCell ref="B23:I23"/>
    <mergeCell ref="B24:I24"/>
    <mergeCell ref="B27:I27"/>
    <mergeCell ref="B28:C28"/>
    <mergeCell ref="D28:I28"/>
    <mergeCell ref="B29:C29"/>
    <mergeCell ref="D29:E29"/>
    <mergeCell ref="F29:G29"/>
    <mergeCell ref="H29:I29"/>
    <mergeCell ref="B30:I30"/>
    <mergeCell ref="B31:I31"/>
    <mergeCell ref="B32:I32"/>
    <mergeCell ref="B33:I33"/>
    <mergeCell ref="B34:I34"/>
    <mergeCell ref="B35:I35"/>
    <mergeCell ref="B36:I36"/>
    <mergeCell ref="B37:I37"/>
    <mergeCell ref="B38:I38"/>
    <mergeCell ref="B39:I39"/>
    <mergeCell ref="B42:I42"/>
    <mergeCell ref="B43:C43"/>
    <mergeCell ref="D43:I43"/>
    <mergeCell ref="B44:C44"/>
    <mergeCell ref="D44:E44"/>
    <mergeCell ref="F44:G44"/>
    <mergeCell ref="H44:I44"/>
    <mergeCell ref="B45:I45"/>
    <mergeCell ref="B46:I46"/>
    <mergeCell ref="B47:I47"/>
    <mergeCell ref="B48:I48"/>
    <mergeCell ref="B49:I49"/>
    <mergeCell ref="B50:I50"/>
    <mergeCell ref="B51:I51"/>
    <mergeCell ref="B52:I52"/>
    <mergeCell ref="B53:I53"/>
    <mergeCell ref="B54:I54"/>
    <mergeCell ref="B55:I55"/>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I36"/>
  <sheetViews>
    <sheetView workbookViewId="0" showGridLines="0" defaultGridColor="1"/>
  </sheetViews>
  <sheetFormatPr defaultColWidth="8.66667" defaultRowHeight="15" customHeight="1" outlineLevelRow="0" outlineLevelCol="0"/>
  <cols>
    <col min="1" max="1" width="2" style="487" customWidth="1"/>
    <col min="2" max="2" width="18" style="487" customWidth="1"/>
    <col min="3" max="3" width="22" style="487" customWidth="1"/>
    <col min="4" max="5" width="14" style="487" customWidth="1"/>
    <col min="6" max="8" width="12" style="487" customWidth="1"/>
    <col min="9" max="9" width="42" style="487" customWidth="1"/>
    <col min="10" max="16384" width="8.67188" style="487" customWidth="1"/>
  </cols>
  <sheetData>
    <row r="1" ht="30" customHeight="1">
      <c r="A1" s="2"/>
      <c r="B1" t="s" s="247">
        <v>707</v>
      </c>
      <c r="C1" s="248"/>
      <c r="D1" s="248"/>
      <c r="E1" s="248"/>
      <c r="F1" s="248"/>
      <c r="G1" s="248"/>
      <c r="H1" s="248"/>
      <c r="I1" s="248"/>
    </row>
    <row r="2" ht="13.5" customHeight="1">
      <c r="A2" s="7"/>
      <c r="B2" t="s" s="8">
        <v>708</v>
      </c>
      <c r="C2" s="9"/>
      <c r="D2" s="9"/>
      <c r="E2" s="9"/>
      <c r="F2" s="9"/>
      <c r="G2" s="9"/>
      <c r="H2" s="9"/>
      <c r="I2" s="9"/>
    </row>
    <row r="3" ht="9.75" customHeight="1">
      <c r="A3" s="12"/>
      <c r="B3" s="300"/>
      <c r="C3" s="300"/>
      <c r="D3" s="300"/>
      <c r="E3" s="300"/>
      <c r="F3" s="300"/>
      <c r="G3" s="300"/>
      <c r="H3" s="300"/>
      <c r="I3" s="301"/>
    </row>
    <row r="4" ht="19.5" customHeight="1">
      <c r="A4" s="7"/>
      <c r="B4" t="s" s="257">
        <v>709</v>
      </c>
      <c r="C4" s="258"/>
      <c r="D4" s="258"/>
      <c r="E4" s="258"/>
      <c r="F4" s="258"/>
      <c r="G4" s="258"/>
      <c r="H4" s="258"/>
      <c r="I4" s="258"/>
    </row>
    <row r="5" ht="19.5" customHeight="1">
      <c r="A5" s="7"/>
      <c r="B5" t="s" s="57">
        <v>710</v>
      </c>
      <c r="C5" s="467"/>
      <c r="D5" s="467"/>
      <c r="E5" s="467"/>
      <c r="F5" s="467"/>
      <c r="G5" s="467"/>
      <c r="H5" s="467"/>
      <c r="I5" s="467"/>
    </row>
    <row r="6" ht="19.5" customHeight="1">
      <c r="A6" s="7"/>
      <c r="B6" t="s" s="57">
        <v>711</v>
      </c>
      <c r="C6" s="467"/>
      <c r="D6" s="467"/>
      <c r="E6" s="467"/>
      <c r="F6" s="467"/>
      <c r="G6" s="467"/>
      <c r="H6" s="467"/>
      <c r="I6" s="467"/>
    </row>
    <row r="7" ht="19.5" customHeight="1">
      <c r="A7" s="7"/>
      <c r="B7" t="s" s="57">
        <v>712</v>
      </c>
      <c r="C7" s="467"/>
      <c r="D7" s="467"/>
      <c r="E7" s="467"/>
      <c r="F7" s="467"/>
      <c r="G7" s="467"/>
      <c r="H7" s="467"/>
      <c r="I7" s="467"/>
    </row>
    <row r="8" ht="19.5" customHeight="1">
      <c r="A8" s="7"/>
      <c r="B8" t="s" s="57">
        <v>713</v>
      </c>
      <c r="C8" s="467"/>
      <c r="D8" s="467"/>
      <c r="E8" s="467"/>
      <c r="F8" s="467"/>
      <c r="G8" s="467"/>
      <c r="H8" s="467"/>
      <c r="I8" s="467"/>
    </row>
    <row r="9" ht="19.5" customHeight="1">
      <c r="A9" s="7"/>
      <c r="B9" t="s" s="57">
        <v>714</v>
      </c>
      <c r="C9" s="467"/>
      <c r="D9" s="467"/>
      <c r="E9" s="467"/>
      <c r="F9" s="467"/>
      <c r="G9" s="467"/>
      <c r="H9" s="467"/>
      <c r="I9" s="467"/>
    </row>
    <row r="10" ht="13.5" customHeight="1">
      <c r="A10" s="12"/>
      <c r="B10" s="300"/>
      <c r="C10" s="300"/>
      <c r="D10" s="300"/>
      <c r="E10" s="300"/>
      <c r="F10" s="300"/>
      <c r="G10" s="300"/>
      <c r="H10" s="300"/>
      <c r="I10" s="301"/>
    </row>
    <row r="11" ht="24" customHeight="1">
      <c r="A11" s="7"/>
      <c r="B11" t="s" s="468">
        <v>715</v>
      </c>
      <c r="C11" s="469"/>
      <c r="D11" s="469"/>
      <c r="E11" s="469"/>
      <c r="F11" s="469"/>
      <c r="G11" s="469"/>
      <c r="H11" s="469"/>
      <c r="I11" s="469"/>
    </row>
    <row r="12" ht="13.5" customHeight="1">
      <c r="A12" s="7"/>
      <c r="B12" t="s" s="488">
        <v>591</v>
      </c>
      <c r="C12" t="s" s="488">
        <v>209</v>
      </c>
      <c r="D12" t="s" s="488">
        <v>210</v>
      </c>
      <c r="E12" t="s" s="488">
        <v>716</v>
      </c>
      <c r="F12" t="s" s="488">
        <v>717</v>
      </c>
      <c r="G12" t="s" s="488">
        <v>363</v>
      </c>
      <c r="H12" t="s" s="488">
        <v>718</v>
      </c>
      <c r="I12" t="s" s="488">
        <v>215</v>
      </c>
    </row>
    <row r="13" ht="18" customHeight="1">
      <c r="A13" s="7"/>
      <c r="B13" t="s" s="268">
        <v>719</v>
      </c>
      <c r="C13" t="s" s="268">
        <v>720</v>
      </c>
      <c r="D13" t="s" s="268">
        <v>721</v>
      </c>
      <c r="E13" t="s" s="268">
        <v>722</v>
      </c>
      <c r="F13" t="s" s="268">
        <v>723</v>
      </c>
      <c r="G13" t="s" s="489">
        <v>724</v>
      </c>
      <c r="H13" t="s" s="489">
        <v>725</v>
      </c>
      <c r="I13" t="s" s="268">
        <v>726</v>
      </c>
    </row>
    <row r="14" ht="19.5" customHeight="1">
      <c r="A14" s="7"/>
      <c r="B14" t="s" s="57">
        <v>727</v>
      </c>
      <c r="C14" s="467"/>
      <c r="D14" s="467"/>
      <c r="E14" s="467"/>
      <c r="F14" s="467"/>
      <c r="G14" s="467"/>
      <c r="H14" s="467"/>
      <c r="I14" s="467"/>
    </row>
    <row r="15" ht="31.5" customHeight="1">
      <c r="A15" s="7"/>
      <c r="B15" t="s" s="470">
        <v>728</v>
      </c>
      <c r="C15" s="471"/>
      <c r="D15" t="s" s="472">
        <v>729</v>
      </c>
      <c r="E15" s="473"/>
      <c r="F15" t="s" s="474">
        <v>730</v>
      </c>
      <c r="G15" s="475"/>
      <c r="H15" s="476"/>
      <c r="I15" s="476"/>
    </row>
    <row r="16" ht="13.5" customHeight="1">
      <c r="A16" s="7"/>
      <c r="B16" t="s" s="477">
        <v>731</v>
      </c>
      <c r="C16" s="478"/>
      <c r="D16" s="478"/>
      <c r="E16" s="478"/>
      <c r="F16" s="478"/>
      <c r="G16" s="478"/>
      <c r="H16" s="478"/>
      <c r="I16" s="478"/>
    </row>
    <row r="17" ht="18" customHeight="1">
      <c r="A17" s="7"/>
      <c r="B17" t="s" s="479">
        <v>732</v>
      </c>
      <c r="C17" s="480"/>
      <c r="D17" s="480"/>
      <c r="E17" s="480"/>
      <c r="F17" s="480"/>
      <c r="G17" s="480"/>
      <c r="H17" s="480"/>
      <c r="I17" s="480"/>
    </row>
    <row r="18" ht="18" customHeight="1">
      <c r="A18" s="7"/>
      <c r="B18" t="s" s="479">
        <v>733</v>
      </c>
      <c r="C18" s="480"/>
      <c r="D18" s="480"/>
      <c r="E18" s="480"/>
      <c r="F18" s="480"/>
      <c r="G18" s="480"/>
      <c r="H18" s="480"/>
      <c r="I18" s="480"/>
    </row>
    <row r="19" ht="18" customHeight="1">
      <c r="A19" s="7"/>
      <c r="B19" t="s" s="479">
        <v>734</v>
      </c>
      <c r="C19" s="480"/>
      <c r="D19" s="480"/>
      <c r="E19" s="480"/>
      <c r="F19" s="480"/>
      <c r="G19" s="480"/>
      <c r="H19" s="480"/>
      <c r="I19" s="480"/>
    </row>
    <row r="20" ht="18" customHeight="1">
      <c r="A20" s="7"/>
      <c r="B20" t="s" s="479">
        <v>735</v>
      </c>
      <c r="C20" s="480"/>
      <c r="D20" s="480"/>
      <c r="E20" s="480"/>
      <c r="F20" s="480"/>
      <c r="G20" s="480"/>
      <c r="H20" s="480"/>
      <c r="I20" s="480"/>
    </row>
    <row r="21" ht="18" customHeight="1">
      <c r="A21" s="7"/>
      <c r="B21" t="s" s="479">
        <v>736</v>
      </c>
      <c r="C21" s="480"/>
      <c r="D21" s="480"/>
      <c r="E21" s="480"/>
      <c r="F21" s="480"/>
      <c r="G21" s="480"/>
      <c r="H21" s="480"/>
      <c r="I21" s="480"/>
    </row>
    <row r="22" ht="18" customHeight="1">
      <c r="A22" s="7"/>
      <c r="B22" t="s" s="479">
        <v>737</v>
      </c>
      <c r="C22" s="480"/>
      <c r="D22" s="480"/>
      <c r="E22" s="480"/>
      <c r="F22" s="480"/>
      <c r="G22" s="480"/>
      <c r="H22" s="480"/>
      <c r="I22" s="480"/>
    </row>
    <row r="23" ht="18" customHeight="1">
      <c r="A23" s="7"/>
      <c r="B23" t="s" s="479">
        <v>738</v>
      </c>
      <c r="C23" s="480"/>
      <c r="D23" s="480"/>
      <c r="E23" s="480"/>
      <c r="F23" s="480"/>
      <c r="G23" s="480"/>
      <c r="H23" s="480"/>
      <c r="I23" s="480"/>
    </row>
    <row r="24" ht="13.5" customHeight="1">
      <c r="A24" s="7"/>
      <c r="B24" t="s" s="481">
        <v>739</v>
      </c>
      <c r="C24" s="482"/>
      <c r="D24" s="482"/>
      <c r="E24" s="482"/>
      <c r="F24" s="482"/>
      <c r="G24" s="482"/>
      <c r="H24" s="482"/>
      <c r="I24" s="482"/>
    </row>
    <row r="25" ht="18" customHeight="1">
      <c r="A25" s="7"/>
      <c r="B25" t="s" s="481">
        <v>740</v>
      </c>
      <c r="C25" s="482"/>
      <c r="D25" s="482"/>
      <c r="E25" s="482"/>
      <c r="F25" s="482"/>
      <c r="G25" s="482"/>
      <c r="H25" s="482"/>
      <c r="I25" s="482"/>
    </row>
    <row r="26" ht="18" customHeight="1">
      <c r="A26" s="7"/>
      <c r="B26" t="s" s="481">
        <v>741</v>
      </c>
      <c r="C26" s="482"/>
      <c r="D26" s="482"/>
      <c r="E26" s="482"/>
      <c r="F26" s="482"/>
      <c r="G26" s="482"/>
      <c r="H26" s="482"/>
      <c r="I26" s="482"/>
    </row>
    <row r="27" ht="18" customHeight="1">
      <c r="A27" s="7"/>
      <c r="B27" t="s" s="481">
        <v>742</v>
      </c>
      <c r="C27" s="482"/>
      <c r="D27" s="482"/>
      <c r="E27" s="482"/>
      <c r="F27" s="482"/>
      <c r="G27" s="482"/>
      <c r="H27" s="482"/>
      <c r="I27" s="482"/>
    </row>
    <row r="28" ht="18" customHeight="1">
      <c r="A28" s="7"/>
      <c r="B28" t="s" s="481">
        <v>743</v>
      </c>
      <c r="C28" s="482"/>
      <c r="D28" s="482"/>
      <c r="E28" s="482"/>
      <c r="F28" s="482"/>
      <c r="G28" s="482"/>
      <c r="H28" s="482"/>
      <c r="I28" s="482"/>
    </row>
    <row r="29" ht="18" customHeight="1">
      <c r="A29" s="7"/>
      <c r="B29" t="s" s="481">
        <v>744</v>
      </c>
      <c r="C29" s="482"/>
      <c r="D29" s="482"/>
      <c r="E29" s="482"/>
      <c r="F29" s="482"/>
      <c r="G29" s="482"/>
      <c r="H29" s="482"/>
      <c r="I29" s="482"/>
    </row>
    <row r="30" ht="18" customHeight="1">
      <c r="A30" s="7"/>
      <c r="B30" t="s" s="481">
        <v>745</v>
      </c>
      <c r="C30" s="482"/>
      <c r="D30" s="482"/>
      <c r="E30" s="482"/>
      <c r="F30" s="482"/>
      <c r="G30" s="482"/>
      <c r="H30" s="482"/>
      <c r="I30" s="482"/>
    </row>
    <row r="31" ht="13.5" customHeight="1">
      <c r="A31" s="7"/>
      <c r="B31" t="s" s="490">
        <v>746</v>
      </c>
      <c r="C31" s="491"/>
      <c r="D31" s="491"/>
      <c r="E31" s="491"/>
      <c r="F31" s="491"/>
      <c r="G31" s="491"/>
      <c r="H31" s="491"/>
      <c r="I31" s="491"/>
    </row>
    <row r="32" ht="18" customHeight="1">
      <c r="A32" s="7"/>
      <c r="B32" t="s" s="490">
        <v>747</v>
      </c>
      <c r="C32" s="491"/>
      <c r="D32" s="491"/>
      <c r="E32" s="491"/>
      <c r="F32" s="491"/>
      <c r="G32" s="491"/>
      <c r="H32" s="491"/>
      <c r="I32" s="491"/>
    </row>
    <row r="33" ht="18" customHeight="1">
      <c r="A33" s="7"/>
      <c r="B33" t="s" s="490">
        <v>748</v>
      </c>
      <c r="C33" s="491"/>
      <c r="D33" s="491"/>
      <c r="E33" s="491"/>
      <c r="F33" s="491"/>
      <c r="G33" s="491"/>
      <c r="H33" s="491"/>
      <c r="I33" s="491"/>
    </row>
    <row r="34" ht="18" customHeight="1">
      <c r="A34" s="7"/>
      <c r="B34" t="s" s="490">
        <v>749</v>
      </c>
      <c r="C34" s="491"/>
      <c r="D34" s="491"/>
      <c r="E34" s="491"/>
      <c r="F34" s="491"/>
      <c r="G34" s="491"/>
      <c r="H34" s="491"/>
      <c r="I34" s="491"/>
    </row>
    <row r="35" ht="18" customHeight="1">
      <c r="A35" s="7"/>
      <c r="B35" t="s" s="490">
        <v>750</v>
      </c>
      <c r="C35" s="491"/>
      <c r="D35" s="491"/>
      <c r="E35" s="491"/>
      <c r="F35" s="491"/>
      <c r="G35" s="491"/>
      <c r="H35" s="491"/>
      <c r="I35" s="491"/>
    </row>
    <row r="36" ht="18" customHeight="1">
      <c r="A36" s="291"/>
      <c r="B36" t="s" s="490">
        <v>751</v>
      </c>
      <c r="C36" s="491"/>
      <c r="D36" s="491"/>
      <c r="E36" s="491"/>
      <c r="F36" s="491"/>
      <c r="G36" s="491"/>
      <c r="H36" s="491"/>
      <c r="I36" s="491"/>
    </row>
  </sheetData>
  <mergeCells count="35">
    <mergeCell ref="B1:I1"/>
    <mergeCell ref="B2:I2"/>
    <mergeCell ref="B4:I4"/>
    <mergeCell ref="B5:I5"/>
    <mergeCell ref="B6:I6"/>
    <mergeCell ref="B7:I7"/>
    <mergeCell ref="B8:I8"/>
    <mergeCell ref="B9:I9"/>
    <mergeCell ref="B11:I11"/>
    <mergeCell ref="B14:I14"/>
    <mergeCell ref="B15:C15"/>
    <mergeCell ref="D15:E15"/>
    <mergeCell ref="F15:G15"/>
    <mergeCell ref="H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B34:I34"/>
    <mergeCell ref="B35:I35"/>
    <mergeCell ref="B36:I36"/>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66667" defaultRowHeight="15" customHeight="1" outlineLevelRow="0" outlineLevelCol="0"/>
  <cols>
    <col min="1" max="1" width="2" style="492" customWidth="1"/>
    <col min="2" max="2" width="26" style="492" customWidth="1"/>
    <col min="3" max="3" width="60" style="492" customWidth="1"/>
    <col min="4" max="4" width="2" style="492" customWidth="1"/>
    <col min="5" max="5" width="8.67188" style="492" customWidth="1"/>
    <col min="6" max="16384" width="8.67188" style="492" customWidth="1"/>
  </cols>
  <sheetData>
    <row r="1" ht="15" customHeight="1">
      <c r="A1" s="438"/>
      <c r="B1" s="439"/>
      <c r="C1" s="439"/>
      <c r="D1" s="105"/>
      <c r="E1" s="105"/>
    </row>
    <row r="2" ht="30" customHeight="1">
      <c r="A2" s="440"/>
      <c r="B2" t="s" s="459">
        <v>752</v>
      </c>
      <c r="C2" s="460"/>
      <c r="D2" s="443"/>
      <c r="E2" s="105"/>
    </row>
    <row r="3" ht="13.5" customHeight="1">
      <c r="A3" s="440"/>
      <c r="B3" t="s" s="444">
        <v>753</v>
      </c>
      <c r="C3" s="445"/>
      <c r="D3" s="443"/>
      <c r="E3" s="105"/>
    </row>
    <row r="4" ht="9.75" customHeight="1">
      <c r="A4" s="438"/>
      <c r="B4" s="455"/>
      <c r="C4" s="455"/>
      <c r="D4" s="105"/>
      <c r="E4" s="105"/>
    </row>
    <row r="5" ht="27.75" customHeight="1">
      <c r="A5" s="440"/>
      <c r="B5" t="s" s="454">
        <v>754</v>
      </c>
      <c r="C5" s="461"/>
      <c r="D5" s="443"/>
      <c r="E5" s="105"/>
    </row>
    <row r="6" ht="99.75" customHeight="1">
      <c r="A6" s="440"/>
      <c r="B6" t="s" s="462">
        <v>755</v>
      </c>
      <c r="C6" t="s" s="463">
        <v>756</v>
      </c>
      <c r="D6" s="443"/>
      <c r="E6" s="105"/>
    </row>
    <row r="7" ht="99.75" customHeight="1">
      <c r="A7" s="440"/>
      <c r="B7" t="s" s="449">
        <v>757</v>
      </c>
      <c r="C7" t="s" s="450">
        <v>758</v>
      </c>
      <c r="D7" s="443"/>
      <c r="E7" s="105"/>
    </row>
    <row r="8" ht="99.75" customHeight="1">
      <c r="A8" s="440"/>
      <c r="B8" t="s" s="449">
        <v>759</v>
      </c>
      <c r="C8" t="s" s="450">
        <v>760</v>
      </c>
      <c r="D8" s="443"/>
      <c r="E8" s="105"/>
    </row>
    <row r="9" ht="99.75" customHeight="1">
      <c r="A9" s="440"/>
      <c r="B9" t="s" s="452">
        <v>761</v>
      </c>
      <c r="C9" t="s" s="453">
        <v>762</v>
      </c>
      <c r="D9" s="443"/>
      <c r="E9" s="105"/>
    </row>
    <row r="10" ht="99.75" customHeight="1">
      <c r="A10" s="440"/>
      <c r="B10" t="s" s="464">
        <v>763</v>
      </c>
      <c r="C10" t="s" s="453">
        <v>764</v>
      </c>
      <c r="D10" s="443"/>
      <c r="E10" s="105"/>
    </row>
    <row r="11" ht="99.75" customHeight="1">
      <c r="A11" s="440"/>
      <c r="B11" t="s" s="454">
        <v>765</v>
      </c>
      <c r="C11" t="s" s="453">
        <v>766</v>
      </c>
      <c r="D11" s="443"/>
      <c r="E11" s="105"/>
    </row>
    <row r="12" ht="15" customHeight="1">
      <c r="A12" s="438"/>
      <c r="B12" s="455"/>
      <c r="C12" s="455"/>
      <c r="D12" s="105"/>
      <c r="E12" s="105"/>
    </row>
    <row r="13" ht="13.5" customHeight="1">
      <c r="A13" s="440"/>
      <c r="B13" t="s" s="456">
        <v>767</v>
      </c>
      <c r="C13" s="457"/>
      <c r="D13" s="443"/>
      <c r="E13" s="105"/>
    </row>
  </sheetData>
  <mergeCells count="4">
    <mergeCell ref="B2:C2"/>
    <mergeCell ref="B3:C3"/>
    <mergeCell ref="B5:C5"/>
    <mergeCell ref="B13:C13"/>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I34"/>
  <sheetViews>
    <sheetView workbookViewId="0" showGridLines="0" defaultGridColor="1"/>
  </sheetViews>
  <sheetFormatPr defaultColWidth="8.66667" defaultRowHeight="15" customHeight="1" outlineLevelRow="0" outlineLevelCol="0"/>
  <cols>
    <col min="1" max="1" width="2" style="493" customWidth="1"/>
    <col min="2" max="2" width="18" style="493" customWidth="1"/>
    <col min="3" max="3" width="22" style="493" customWidth="1"/>
    <col min="4" max="5" width="14" style="493" customWidth="1"/>
    <col min="6" max="8" width="12" style="493" customWidth="1"/>
    <col min="9" max="9" width="42" style="493" customWidth="1"/>
    <col min="10" max="16384" width="8.67188" style="493" customWidth="1"/>
  </cols>
  <sheetData>
    <row r="1" ht="30" customHeight="1">
      <c r="A1" s="2"/>
      <c r="B1" t="s" s="247">
        <v>768</v>
      </c>
      <c r="C1" s="248"/>
      <c r="D1" s="248"/>
      <c r="E1" s="248"/>
      <c r="F1" s="248"/>
      <c r="G1" s="248"/>
      <c r="H1" s="248"/>
      <c r="I1" s="248"/>
    </row>
    <row r="2" ht="13.5" customHeight="1">
      <c r="A2" s="7"/>
      <c r="B2" t="s" s="8">
        <v>769</v>
      </c>
      <c r="C2" s="9"/>
      <c r="D2" s="9"/>
      <c r="E2" s="9"/>
      <c r="F2" s="9"/>
      <c r="G2" s="9"/>
      <c r="H2" s="9"/>
      <c r="I2" s="9"/>
    </row>
    <row r="3" ht="9.75" customHeight="1">
      <c r="A3" s="12"/>
      <c r="B3" s="300"/>
      <c r="C3" s="300"/>
      <c r="D3" s="300"/>
      <c r="E3" s="300"/>
      <c r="F3" s="300"/>
      <c r="G3" s="300"/>
      <c r="H3" s="300"/>
      <c r="I3" s="301"/>
    </row>
    <row r="4" ht="19.5" customHeight="1">
      <c r="A4" s="7"/>
      <c r="B4" t="s" s="257">
        <v>709</v>
      </c>
      <c r="C4" s="258"/>
      <c r="D4" s="258"/>
      <c r="E4" s="258"/>
      <c r="F4" s="258"/>
      <c r="G4" s="258"/>
      <c r="H4" s="258"/>
      <c r="I4" s="258"/>
    </row>
    <row r="5" ht="19.5" customHeight="1">
      <c r="A5" s="7"/>
      <c r="B5" t="s" s="57">
        <v>770</v>
      </c>
      <c r="C5" s="467"/>
      <c r="D5" s="467"/>
      <c r="E5" s="467"/>
      <c r="F5" s="467"/>
      <c r="G5" s="467"/>
      <c r="H5" s="467"/>
      <c r="I5" s="467"/>
    </row>
    <row r="6" ht="19.5" customHeight="1">
      <c r="A6" s="7"/>
      <c r="B6" t="s" s="57">
        <v>771</v>
      </c>
      <c r="C6" s="467"/>
      <c r="D6" s="467"/>
      <c r="E6" s="467"/>
      <c r="F6" s="467"/>
      <c r="G6" s="467"/>
      <c r="H6" s="467"/>
      <c r="I6" s="467"/>
    </row>
    <row r="7" ht="19.5" customHeight="1">
      <c r="A7" s="7"/>
      <c r="B7" t="s" s="57">
        <v>772</v>
      </c>
      <c r="C7" s="467"/>
      <c r="D7" s="467"/>
      <c r="E7" s="467"/>
      <c r="F7" s="467"/>
      <c r="G7" s="467"/>
      <c r="H7" s="467"/>
      <c r="I7" s="467"/>
    </row>
    <row r="8" ht="19.5" customHeight="1">
      <c r="A8" s="7"/>
      <c r="B8" t="s" s="57">
        <v>773</v>
      </c>
      <c r="C8" s="467"/>
      <c r="D8" s="467"/>
      <c r="E8" s="467"/>
      <c r="F8" s="467"/>
      <c r="G8" s="467"/>
      <c r="H8" s="467"/>
      <c r="I8" s="467"/>
    </row>
    <row r="9" ht="19.5" customHeight="1">
      <c r="A9" s="7"/>
      <c r="B9" t="s" s="57">
        <v>774</v>
      </c>
      <c r="C9" s="467"/>
      <c r="D9" s="467"/>
      <c r="E9" s="467"/>
      <c r="F9" s="467"/>
      <c r="G9" s="467"/>
      <c r="H9" s="467"/>
      <c r="I9" s="467"/>
    </row>
    <row r="10" ht="13.5" customHeight="1">
      <c r="A10" s="12"/>
      <c r="B10" s="300"/>
      <c r="C10" s="300"/>
      <c r="D10" s="300"/>
      <c r="E10" s="300"/>
      <c r="F10" s="300"/>
      <c r="G10" s="300"/>
      <c r="H10" s="300"/>
      <c r="I10" s="301"/>
    </row>
    <row r="11" ht="24" customHeight="1">
      <c r="A11" s="7"/>
      <c r="B11" t="s" s="483">
        <v>775</v>
      </c>
      <c r="C11" s="484"/>
      <c r="D11" s="484"/>
      <c r="E11" s="484"/>
      <c r="F11" s="484"/>
      <c r="G11" s="484"/>
      <c r="H11" s="484"/>
      <c r="I11" s="484"/>
    </row>
    <row r="12" ht="13.5" customHeight="1">
      <c r="A12" s="7"/>
      <c r="B12" t="s" s="488">
        <v>591</v>
      </c>
      <c r="C12" t="s" s="488">
        <v>209</v>
      </c>
      <c r="D12" t="s" s="488">
        <v>210</v>
      </c>
      <c r="E12" t="s" s="488">
        <v>716</v>
      </c>
      <c r="F12" t="s" s="488">
        <v>717</v>
      </c>
      <c r="G12" t="s" s="488">
        <v>363</v>
      </c>
      <c r="H12" t="s" s="488">
        <v>718</v>
      </c>
      <c r="I12" t="s" s="488">
        <v>215</v>
      </c>
    </row>
    <row r="13" ht="18" customHeight="1">
      <c r="A13" s="7"/>
      <c r="B13" t="s" s="268">
        <v>776</v>
      </c>
      <c r="C13" t="s" s="268">
        <v>777</v>
      </c>
      <c r="D13" t="s" s="268">
        <v>778</v>
      </c>
      <c r="E13" t="s" s="268">
        <v>779</v>
      </c>
      <c r="F13" t="s" s="268">
        <v>780</v>
      </c>
      <c r="G13" t="s" s="489">
        <v>781</v>
      </c>
      <c r="H13" t="s" s="489">
        <v>782</v>
      </c>
      <c r="I13" t="s" s="268">
        <v>726</v>
      </c>
    </row>
    <row r="14" ht="19.5" customHeight="1">
      <c r="A14" s="7"/>
      <c r="B14" t="s" s="57">
        <v>783</v>
      </c>
      <c r="C14" s="467"/>
      <c r="D14" s="467"/>
      <c r="E14" s="467"/>
      <c r="F14" s="467"/>
      <c r="G14" s="467"/>
      <c r="H14" s="467"/>
      <c r="I14" s="467"/>
    </row>
    <row r="15" ht="31.5" customHeight="1">
      <c r="A15" s="7"/>
      <c r="B15" t="s" s="470">
        <v>784</v>
      </c>
      <c r="C15" s="471"/>
      <c r="D15" t="s" s="472">
        <v>785</v>
      </c>
      <c r="E15" s="473"/>
      <c r="F15" t="s" s="474">
        <v>786</v>
      </c>
      <c r="G15" s="475"/>
      <c r="H15" s="476"/>
      <c r="I15" s="476"/>
    </row>
    <row r="16" ht="13.5" customHeight="1">
      <c r="A16" s="7"/>
      <c r="B16" t="s" s="477">
        <v>787</v>
      </c>
      <c r="C16" s="478"/>
      <c r="D16" s="478"/>
      <c r="E16" s="478"/>
      <c r="F16" s="478"/>
      <c r="G16" s="478"/>
      <c r="H16" s="478"/>
      <c r="I16" s="478"/>
    </row>
    <row r="17" ht="18" customHeight="1">
      <c r="A17" s="7"/>
      <c r="B17" t="s" s="479">
        <v>788</v>
      </c>
      <c r="C17" s="480"/>
      <c r="D17" s="480"/>
      <c r="E17" s="480"/>
      <c r="F17" s="480"/>
      <c r="G17" s="480"/>
      <c r="H17" s="480"/>
      <c r="I17" s="480"/>
    </row>
    <row r="18" ht="18" customHeight="1">
      <c r="A18" s="7"/>
      <c r="B18" t="s" s="479">
        <v>789</v>
      </c>
      <c r="C18" s="480"/>
      <c r="D18" s="480"/>
      <c r="E18" s="480"/>
      <c r="F18" s="480"/>
      <c r="G18" s="480"/>
      <c r="H18" s="480"/>
      <c r="I18" s="480"/>
    </row>
    <row r="19" ht="18" customHeight="1">
      <c r="A19" s="7"/>
      <c r="B19" t="s" s="479">
        <v>790</v>
      </c>
      <c r="C19" s="480"/>
      <c r="D19" s="480"/>
      <c r="E19" s="480"/>
      <c r="F19" s="480"/>
      <c r="G19" s="480"/>
      <c r="H19" s="480"/>
      <c r="I19" s="480"/>
    </row>
    <row r="20" ht="18" customHeight="1">
      <c r="A20" s="7"/>
      <c r="B20" t="s" s="479">
        <v>791</v>
      </c>
      <c r="C20" s="480"/>
      <c r="D20" s="480"/>
      <c r="E20" s="480"/>
      <c r="F20" s="480"/>
      <c r="G20" s="480"/>
      <c r="H20" s="480"/>
      <c r="I20" s="480"/>
    </row>
    <row r="21" ht="18" customHeight="1">
      <c r="A21" s="7"/>
      <c r="B21" t="s" s="479">
        <v>792</v>
      </c>
      <c r="C21" s="480"/>
      <c r="D21" s="480"/>
      <c r="E21" s="480"/>
      <c r="F21" s="480"/>
      <c r="G21" s="480"/>
      <c r="H21" s="480"/>
      <c r="I21" s="480"/>
    </row>
    <row r="22" ht="18" customHeight="1">
      <c r="A22" s="7"/>
      <c r="B22" t="s" s="479">
        <v>793</v>
      </c>
      <c r="C22" s="480"/>
      <c r="D22" s="480"/>
      <c r="E22" s="480"/>
      <c r="F22" s="480"/>
      <c r="G22" s="480"/>
      <c r="H22" s="480"/>
      <c r="I22" s="480"/>
    </row>
    <row r="23" ht="13.5" customHeight="1">
      <c r="A23" s="7"/>
      <c r="B23" t="s" s="481">
        <v>739</v>
      </c>
      <c r="C23" s="482"/>
      <c r="D23" s="482"/>
      <c r="E23" s="482"/>
      <c r="F23" s="482"/>
      <c r="G23" s="482"/>
      <c r="H23" s="482"/>
      <c r="I23" s="482"/>
    </row>
    <row r="24" ht="18" customHeight="1">
      <c r="A24" s="7"/>
      <c r="B24" t="s" s="481">
        <v>794</v>
      </c>
      <c r="C24" s="482"/>
      <c r="D24" s="482"/>
      <c r="E24" s="482"/>
      <c r="F24" s="482"/>
      <c r="G24" s="482"/>
      <c r="H24" s="482"/>
      <c r="I24" s="482"/>
    </row>
    <row r="25" ht="18" customHeight="1">
      <c r="A25" s="7"/>
      <c r="B25" t="s" s="481">
        <v>795</v>
      </c>
      <c r="C25" s="482"/>
      <c r="D25" s="482"/>
      <c r="E25" s="482"/>
      <c r="F25" s="482"/>
      <c r="G25" s="482"/>
      <c r="H25" s="482"/>
      <c r="I25" s="482"/>
    </row>
    <row r="26" ht="18" customHeight="1">
      <c r="A26" s="7"/>
      <c r="B26" t="s" s="481">
        <v>796</v>
      </c>
      <c r="C26" s="482"/>
      <c r="D26" s="482"/>
      <c r="E26" s="482"/>
      <c r="F26" s="482"/>
      <c r="G26" s="482"/>
      <c r="H26" s="482"/>
      <c r="I26" s="482"/>
    </row>
    <row r="27" ht="18" customHeight="1">
      <c r="A27" s="7"/>
      <c r="B27" t="s" s="481">
        <v>797</v>
      </c>
      <c r="C27" s="482"/>
      <c r="D27" s="482"/>
      <c r="E27" s="482"/>
      <c r="F27" s="482"/>
      <c r="G27" s="482"/>
      <c r="H27" s="482"/>
      <c r="I27" s="482"/>
    </row>
    <row r="28" ht="18" customHeight="1">
      <c r="A28" s="7"/>
      <c r="B28" t="s" s="481">
        <v>798</v>
      </c>
      <c r="C28" s="482"/>
      <c r="D28" s="482"/>
      <c r="E28" s="482"/>
      <c r="F28" s="482"/>
      <c r="G28" s="482"/>
      <c r="H28" s="482"/>
      <c r="I28" s="482"/>
    </row>
    <row r="29" ht="13.5" customHeight="1">
      <c r="A29" s="7"/>
      <c r="B29" t="s" s="490">
        <v>746</v>
      </c>
      <c r="C29" s="491"/>
      <c r="D29" s="491"/>
      <c r="E29" s="491"/>
      <c r="F29" s="491"/>
      <c r="G29" s="491"/>
      <c r="H29" s="491"/>
      <c r="I29" s="491"/>
    </row>
    <row r="30" ht="18" customHeight="1">
      <c r="A30" s="7"/>
      <c r="B30" t="s" s="490">
        <v>799</v>
      </c>
      <c r="C30" s="491"/>
      <c r="D30" s="491"/>
      <c r="E30" s="491"/>
      <c r="F30" s="491"/>
      <c r="G30" s="491"/>
      <c r="H30" s="491"/>
      <c r="I30" s="491"/>
    </row>
    <row r="31" ht="18" customHeight="1">
      <c r="A31" s="7"/>
      <c r="B31" t="s" s="490">
        <v>800</v>
      </c>
      <c r="C31" s="491"/>
      <c r="D31" s="491"/>
      <c r="E31" s="491"/>
      <c r="F31" s="491"/>
      <c r="G31" s="491"/>
      <c r="H31" s="491"/>
      <c r="I31" s="491"/>
    </row>
    <row r="32" ht="18" customHeight="1">
      <c r="A32" s="7"/>
      <c r="B32" t="s" s="490">
        <v>801</v>
      </c>
      <c r="C32" s="491"/>
      <c r="D32" s="491"/>
      <c r="E32" s="491"/>
      <c r="F32" s="491"/>
      <c r="G32" s="491"/>
      <c r="H32" s="491"/>
      <c r="I32" s="491"/>
    </row>
    <row r="33" ht="18" customHeight="1">
      <c r="A33" s="7"/>
      <c r="B33" t="s" s="490">
        <v>802</v>
      </c>
      <c r="C33" s="491"/>
      <c r="D33" s="491"/>
      <c r="E33" s="491"/>
      <c r="F33" s="491"/>
      <c r="G33" s="491"/>
      <c r="H33" s="491"/>
      <c r="I33" s="491"/>
    </row>
    <row r="34" ht="18" customHeight="1">
      <c r="A34" s="291"/>
      <c r="B34" t="s" s="490">
        <v>803</v>
      </c>
      <c r="C34" s="491"/>
      <c r="D34" s="491"/>
      <c r="E34" s="491"/>
      <c r="F34" s="491"/>
      <c r="G34" s="491"/>
      <c r="H34" s="491"/>
      <c r="I34" s="491"/>
    </row>
  </sheetData>
  <mergeCells count="33">
    <mergeCell ref="B1:I1"/>
    <mergeCell ref="B2:I2"/>
    <mergeCell ref="B4:I4"/>
    <mergeCell ref="B5:I5"/>
    <mergeCell ref="B6:I6"/>
    <mergeCell ref="B7:I7"/>
    <mergeCell ref="B8:I8"/>
    <mergeCell ref="B9:I9"/>
    <mergeCell ref="B11:I11"/>
    <mergeCell ref="B14:I14"/>
    <mergeCell ref="B15:C15"/>
    <mergeCell ref="D15:E15"/>
    <mergeCell ref="F15:G15"/>
    <mergeCell ref="H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B34:I34"/>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I35"/>
  <sheetViews>
    <sheetView workbookViewId="0" showGridLines="0" defaultGridColor="1"/>
  </sheetViews>
  <sheetFormatPr defaultColWidth="8.66667" defaultRowHeight="15" customHeight="1" outlineLevelRow="0" outlineLevelCol="0"/>
  <cols>
    <col min="1" max="1" width="2" style="494" customWidth="1"/>
    <col min="2" max="2" width="18" style="494" customWidth="1"/>
    <col min="3" max="3" width="22" style="494" customWidth="1"/>
    <col min="4" max="5" width="14" style="494" customWidth="1"/>
    <col min="6" max="8" width="12" style="494" customWidth="1"/>
    <col min="9" max="9" width="42" style="494" customWidth="1"/>
    <col min="10" max="16384" width="8.67188" style="494" customWidth="1"/>
  </cols>
  <sheetData>
    <row r="1" ht="30" customHeight="1">
      <c r="A1" s="2"/>
      <c r="B1" t="s" s="247">
        <v>804</v>
      </c>
      <c r="C1" s="248"/>
      <c r="D1" s="248"/>
      <c r="E1" s="248"/>
      <c r="F1" s="248"/>
      <c r="G1" s="248"/>
      <c r="H1" s="248"/>
      <c r="I1" s="248"/>
    </row>
    <row r="2" ht="13.5" customHeight="1">
      <c r="A2" s="7"/>
      <c r="B2" t="s" s="8">
        <v>805</v>
      </c>
      <c r="C2" s="9"/>
      <c r="D2" s="9"/>
      <c r="E2" s="9"/>
      <c r="F2" s="9"/>
      <c r="G2" s="9"/>
      <c r="H2" s="9"/>
      <c r="I2" s="9"/>
    </row>
    <row r="3" ht="9.75" customHeight="1">
      <c r="A3" s="12"/>
      <c r="B3" s="300"/>
      <c r="C3" s="300"/>
      <c r="D3" s="300"/>
      <c r="E3" s="300"/>
      <c r="F3" s="300"/>
      <c r="G3" s="300"/>
      <c r="H3" s="300"/>
      <c r="I3" s="301"/>
    </row>
    <row r="4" ht="19.5" customHeight="1">
      <c r="A4" s="7"/>
      <c r="B4" t="s" s="257">
        <v>709</v>
      </c>
      <c r="C4" s="258"/>
      <c r="D4" s="258"/>
      <c r="E4" s="258"/>
      <c r="F4" s="258"/>
      <c r="G4" s="258"/>
      <c r="H4" s="258"/>
      <c r="I4" s="258"/>
    </row>
    <row r="5" ht="19.5" customHeight="1">
      <c r="A5" s="7"/>
      <c r="B5" t="s" s="57">
        <v>806</v>
      </c>
      <c r="C5" s="467"/>
      <c r="D5" s="467"/>
      <c r="E5" s="467"/>
      <c r="F5" s="467"/>
      <c r="G5" s="467"/>
      <c r="H5" s="467"/>
      <c r="I5" s="467"/>
    </row>
    <row r="6" ht="19.5" customHeight="1">
      <c r="A6" s="7"/>
      <c r="B6" t="s" s="57">
        <v>807</v>
      </c>
      <c r="C6" s="467"/>
      <c r="D6" s="467"/>
      <c r="E6" s="467"/>
      <c r="F6" s="467"/>
      <c r="G6" s="467"/>
      <c r="H6" s="467"/>
      <c r="I6" s="467"/>
    </row>
    <row r="7" ht="19.5" customHeight="1">
      <c r="A7" s="7"/>
      <c r="B7" t="s" s="57">
        <v>808</v>
      </c>
      <c r="C7" s="467"/>
      <c r="D7" s="467"/>
      <c r="E7" s="467"/>
      <c r="F7" s="467"/>
      <c r="G7" s="467"/>
      <c r="H7" s="467"/>
      <c r="I7" s="467"/>
    </row>
    <row r="8" ht="19.5" customHeight="1">
      <c r="A8" s="7"/>
      <c r="B8" t="s" s="57">
        <v>809</v>
      </c>
      <c r="C8" s="467"/>
      <c r="D8" s="467"/>
      <c r="E8" s="467"/>
      <c r="F8" s="467"/>
      <c r="G8" s="467"/>
      <c r="H8" s="467"/>
      <c r="I8" s="467"/>
    </row>
    <row r="9" ht="19.5" customHeight="1">
      <c r="A9" s="7"/>
      <c r="B9" t="s" s="57">
        <v>810</v>
      </c>
      <c r="C9" s="467"/>
      <c r="D9" s="467"/>
      <c r="E9" s="467"/>
      <c r="F9" s="467"/>
      <c r="G9" s="467"/>
      <c r="H9" s="467"/>
      <c r="I9" s="467"/>
    </row>
    <row r="10" ht="13.5" customHeight="1">
      <c r="A10" s="12"/>
      <c r="B10" s="300"/>
      <c r="C10" s="300"/>
      <c r="D10" s="300"/>
      <c r="E10" s="300"/>
      <c r="F10" s="300"/>
      <c r="G10" s="300"/>
      <c r="H10" s="300"/>
      <c r="I10" s="301"/>
    </row>
    <row r="11" ht="24" customHeight="1">
      <c r="A11" s="7"/>
      <c r="B11" t="s" s="483">
        <v>811</v>
      </c>
      <c r="C11" s="484"/>
      <c r="D11" s="484"/>
      <c r="E11" s="484"/>
      <c r="F11" s="484"/>
      <c r="G11" s="484"/>
      <c r="H11" s="484"/>
      <c r="I11" s="484"/>
    </row>
    <row r="12" ht="13.5" customHeight="1">
      <c r="A12" s="7"/>
      <c r="B12" t="s" s="488">
        <v>591</v>
      </c>
      <c r="C12" t="s" s="488">
        <v>209</v>
      </c>
      <c r="D12" t="s" s="488">
        <v>210</v>
      </c>
      <c r="E12" t="s" s="488">
        <v>716</v>
      </c>
      <c r="F12" t="s" s="488">
        <v>717</v>
      </c>
      <c r="G12" t="s" s="488">
        <v>363</v>
      </c>
      <c r="H12" t="s" s="488">
        <v>718</v>
      </c>
      <c r="I12" t="s" s="488">
        <v>215</v>
      </c>
    </row>
    <row r="13" ht="18" customHeight="1">
      <c r="A13" s="7"/>
      <c r="B13" t="s" s="268">
        <v>812</v>
      </c>
      <c r="C13" t="s" s="268">
        <v>813</v>
      </c>
      <c r="D13" t="s" s="268">
        <v>814</v>
      </c>
      <c r="E13" t="s" s="268">
        <v>815</v>
      </c>
      <c r="F13" t="s" s="268">
        <v>816</v>
      </c>
      <c r="G13" t="s" s="489">
        <v>817</v>
      </c>
      <c r="H13" t="s" s="489">
        <v>818</v>
      </c>
      <c r="I13" t="s" s="268">
        <v>819</v>
      </c>
    </row>
    <row r="14" ht="19.5" customHeight="1">
      <c r="A14" s="7"/>
      <c r="B14" t="s" s="57">
        <v>820</v>
      </c>
      <c r="C14" s="467"/>
      <c r="D14" s="467"/>
      <c r="E14" s="467"/>
      <c r="F14" s="467"/>
      <c r="G14" s="467"/>
      <c r="H14" s="467"/>
      <c r="I14" s="467"/>
    </row>
    <row r="15" ht="31.5" customHeight="1">
      <c r="A15" s="7"/>
      <c r="B15" t="s" s="470">
        <v>821</v>
      </c>
      <c r="C15" s="471"/>
      <c r="D15" t="s" s="472">
        <v>822</v>
      </c>
      <c r="E15" s="473"/>
      <c r="F15" t="s" s="474">
        <v>823</v>
      </c>
      <c r="G15" s="475"/>
      <c r="H15" s="476"/>
      <c r="I15" s="476"/>
    </row>
    <row r="16" ht="13.5" customHeight="1">
      <c r="A16" s="7"/>
      <c r="B16" t="s" s="477">
        <v>824</v>
      </c>
      <c r="C16" s="478"/>
      <c r="D16" s="478"/>
      <c r="E16" s="478"/>
      <c r="F16" s="478"/>
      <c r="G16" s="478"/>
      <c r="H16" s="478"/>
      <c r="I16" s="478"/>
    </row>
    <row r="17" ht="18" customHeight="1">
      <c r="A17" s="7"/>
      <c r="B17" t="s" s="479">
        <v>825</v>
      </c>
      <c r="C17" s="480"/>
      <c r="D17" s="480"/>
      <c r="E17" s="480"/>
      <c r="F17" s="480"/>
      <c r="G17" s="480"/>
      <c r="H17" s="480"/>
      <c r="I17" s="480"/>
    </row>
    <row r="18" ht="18" customHeight="1">
      <c r="A18" s="7"/>
      <c r="B18" t="s" s="479">
        <v>826</v>
      </c>
      <c r="C18" s="480"/>
      <c r="D18" s="480"/>
      <c r="E18" s="480"/>
      <c r="F18" s="480"/>
      <c r="G18" s="480"/>
      <c r="H18" s="480"/>
      <c r="I18" s="480"/>
    </row>
    <row r="19" ht="18" customHeight="1">
      <c r="A19" s="7"/>
      <c r="B19" t="s" s="479">
        <v>827</v>
      </c>
      <c r="C19" s="480"/>
      <c r="D19" s="480"/>
      <c r="E19" s="480"/>
      <c r="F19" s="480"/>
      <c r="G19" s="480"/>
      <c r="H19" s="480"/>
      <c r="I19" s="480"/>
    </row>
    <row r="20" ht="18" customHeight="1">
      <c r="A20" s="7"/>
      <c r="B20" t="s" s="479">
        <v>828</v>
      </c>
      <c r="C20" s="480"/>
      <c r="D20" s="480"/>
      <c r="E20" s="480"/>
      <c r="F20" s="480"/>
      <c r="G20" s="480"/>
      <c r="H20" s="480"/>
      <c r="I20" s="480"/>
    </row>
    <row r="21" ht="18" customHeight="1">
      <c r="A21" s="7"/>
      <c r="B21" t="s" s="479">
        <v>829</v>
      </c>
      <c r="C21" s="480"/>
      <c r="D21" s="480"/>
      <c r="E21" s="480"/>
      <c r="F21" s="480"/>
      <c r="G21" s="480"/>
      <c r="H21" s="480"/>
      <c r="I21" s="480"/>
    </row>
    <row r="22" ht="18" customHeight="1">
      <c r="A22" s="7"/>
      <c r="B22" t="s" s="479">
        <v>830</v>
      </c>
      <c r="C22" s="480"/>
      <c r="D22" s="480"/>
      <c r="E22" s="480"/>
      <c r="F22" s="480"/>
      <c r="G22" s="480"/>
      <c r="H22" s="480"/>
      <c r="I22" s="480"/>
    </row>
    <row r="23" ht="18" customHeight="1">
      <c r="A23" s="7"/>
      <c r="B23" t="s" s="479">
        <v>831</v>
      </c>
      <c r="C23" s="480"/>
      <c r="D23" s="480"/>
      <c r="E23" s="480"/>
      <c r="F23" s="480"/>
      <c r="G23" s="480"/>
      <c r="H23" s="480"/>
      <c r="I23" s="480"/>
    </row>
    <row r="24" ht="13.5" customHeight="1">
      <c r="A24" s="7"/>
      <c r="B24" t="s" s="481">
        <v>739</v>
      </c>
      <c r="C24" s="482"/>
      <c r="D24" s="482"/>
      <c r="E24" s="482"/>
      <c r="F24" s="482"/>
      <c r="G24" s="482"/>
      <c r="H24" s="482"/>
      <c r="I24" s="482"/>
    </row>
    <row r="25" ht="18" customHeight="1">
      <c r="A25" s="7"/>
      <c r="B25" t="s" s="481">
        <v>832</v>
      </c>
      <c r="C25" s="482"/>
      <c r="D25" s="482"/>
      <c r="E25" s="482"/>
      <c r="F25" s="482"/>
      <c r="G25" s="482"/>
      <c r="H25" s="482"/>
      <c r="I25" s="482"/>
    </row>
    <row r="26" ht="18" customHeight="1">
      <c r="A26" s="7"/>
      <c r="B26" t="s" s="481">
        <v>833</v>
      </c>
      <c r="C26" s="482"/>
      <c r="D26" s="482"/>
      <c r="E26" s="482"/>
      <c r="F26" s="482"/>
      <c r="G26" s="482"/>
      <c r="H26" s="482"/>
      <c r="I26" s="482"/>
    </row>
    <row r="27" ht="18" customHeight="1">
      <c r="A27" s="7"/>
      <c r="B27" t="s" s="481">
        <v>834</v>
      </c>
      <c r="C27" s="482"/>
      <c r="D27" s="482"/>
      <c r="E27" s="482"/>
      <c r="F27" s="482"/>
      <c r="G27" s="482"/>
      <c r="H27" s="482"/>
      <c r="I27" s="482"/>
    </row>
    <row r="28" ht="18" customHeight="1">
      <c r="A28" s="7"/>
      <c r="B28" t="s" s="481">
        <v>835</v>
      </c>
      <c r="C28" s="482"/>
      <c r="D28" s="482"/>
      <c r="E28" s="482"/>
      <c r="F28" s="482"/>
      <c r="G28" s="482"/>
      <c r="H28" s="482"/>
      <c r="I28" s="482"/>
    </row>
    <row r="29" ht="18" customHeight="1">
      <c r="A29" s="7"/>
      <c r="B29" t="s" s="481">
        <v>836</v>
      </c>
      <c r="C29" s="482"/>
      <c r="D29" s="482"/>
      <c r="E29" s="482"/>
      <c r="F29" s="482"/>
      <c r="G29" s="482"/>
      <c r="H29" s="482"/>
      <c r="I29" s="482"/>
    </row>
    <row r="30" ht="13.5" customHeight="1">
      <c r="A30" s="7"/>
      <c r="B30" t="s" s="490">
        <v>746</v>
      </c>
      <c r="C30" s="491"/>
      <c r="D30" s="491"/>
      <c r="E30" s="491"/>
      <c r="F30" s="491"/>
      <c r="G30" s="491"/>
      <c r="H30" s="491"/>
      <c r="I30" s="491"/>
    </row>
    <row r="31" ht="18" customHeight="1">
      <c r="A31" s="7"/>
      <c r="B31" t="s" s="490">
        <v>837</v>
      </c>
      <c r="C31" s="491"/>
      <c r="D31" s="491"/>
      <c r="E31" s="491"/>
      <c r="F31" s="491"/>
      <c r="G31" s="491"/>
      <c r="H31" s="491"/>
      <c r="I31" s="491"/>
    </row>
    <row r="32" ht="18" customHeight="1">
      <c r="A32" s="7"/>
      <c r="B32" t="s" s="490">
        <v>838</v>
      </c>
      <c r="C32" s="491"/>
      <c r="D32" s="491"/>
      <c r="E32" s="491"/>
      <c r="F32" s="491"/>
      <c r="G32" s="491"/>
      <c r="H32" s="491"/>
      <c r="I32" s="491"/>
    </row>
    <row r="33" ht="18" customHeight="1">
      <c r="A33" s="7"/>
      <c r="B33" t="s" s="490">
        <v>839</v>
      </c>
      <c r="C33" s="491"/>
      <c r="D33" s="491"/>
      <c r="E33" s="491"/>
      <c r="F33" s="491"/>
      <c r="G33" s="491"/>
      <c r="H33" s="491"/>
      <c r="I33" s="491"/>
    </row>
    <row r="34" ht="18" customHeight="1">
      <c r="A34" s="7"/>
      <c r="B34" t="s" s="490">
        <v>840</v>
      </c>
      <c r="C34" s="491"/>
      <c r="D34" s="491"/>
      <c r="E34" s="491"/>
      <c r="F34" s="491"/>
      <c r="G34" s="491"/>
      <c r="H34" s="491"/>
      <c r="I34" s="491"/>
    </row>
    <row r="35" ht="18" customHeight="1">
      <c r="A35" s="291"/>
      <c r="B35" t="s" s="490">
        <v>841</v>
      </c>
      <c r="C35" s="491"/>
      <c r="D35" s="491"/>
      <c r="E35" s="491"/>
      <c r="F35" s="491"/>
      <c r="G35" s="491"/>
      <c r="H35" s="491"/>
      <c r="I35" s="491"/>
    </row>
  </sheetData>
  <mergeCells count="34">
    <mergeCell ref="B1:I1"/>
    <mergeCell ref="B2:I2"/>
    <mergeCell ref="B4:I4"/>
    <mergeCell ref="B5:I5"/>
    <mergeCell ref="B6:I6"/>
    <mergeCell ref="B7:I7"/>
    <mergeCell ref="B8:I8"/>
    <mergeCell ref="B9:I9"/>
    <mergeCell ref="B11:I11"/>
    <mergeCell ref="B14:I14"/>
    <mergeCell ref="B15:C15"/>
    <mergeCell ref="D15:E15"/>
    <mergeCell ref="F15:G15"/>
    <mergeCell ref="H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B34:I34"/>
    <mergeCell ref="B35:I35"/>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I36"/>
  <sheetViews>
    <sheetView workbookViewId="0" showGridLines="0" defaultGridColor="1"/>
  </sheetViews>
  <sheetFormatPr defaultColWidth="8.66667" defaultRowHeight="15" customHeight="1" outlineLevelRow="0" outlineLevelCol="0"/>
  <cols>
    <col min="1" max="1" width="2" style="495" customWidth="1"/>
    <col min="2" max="2" width="18" style="495" customWidth="1"/>
    <col min="3" max="3" width="22" style="495" customWidth="1"/>
    <col min="4" max="5" width="14" style="495" customWidth="1"/>
    <col min="6" max="8" width="12" style="495" customWidth="1"/>
    <col min="9" max="9" width="42" style="495" customWidth="1"/>
    <col min="10" max="16384" width="8.67188" style="495" customWidth="1"/>
  </cols>
  <sheetData>
    <row r="1" ht="30" customHeight="1">
      <c r="A1" s="2"/>
      <c r="B1" t="s" s="247">
        <v>842</v>
      </c>
      <c r="C1" s="248"/>
      <c r="D1" s="248"/>
      <c r="E1" s="248"/>
      <c r="F1" s="248"/>
      <c r="G1" s="248"/>
      <c r="H1" s="248"/>
      <c r="I1" s="248"/>
    </row>
    <row r="2" ht="13.5" customHeight="1">
      <c r="A2" s="7"/>
      <c r="B2" t="s" s="8">
        <v>843</v>
      </c>
      <c r="C2" s="9"/>
      <c r="D2" s="9"/>
      <c r="E2" s="9"/>
      <c r="F2" s="9"/>
      <c r="G2" s="9"/>
      <c r="H2" s="9"/>
      <c r="I2" s="9"/>
    </row>
    <row r="3" ht="9.75" customHeight="1">
      <c r="A3" s="12"/>
      <c r="B3" s="300"/>
      <c r="C3" s="300"/>
      <c r="D3" s="300"/>
      <c r="E3" s="300"/>
      <c r="F3" s="300"/>
      <c r="G3" s="300"/>
      <c r="H3" s="300"/>
      <c r="I3" s="301"/>
    </row>
    <row r="4" ht="19.5" customHeight="1">
      <c r="A4" s="7"/>
      <c r="B4" t="s" s="257">
        <v>709</v>
      </c>
      <c r="C4" s="258"/>
      <c r="D4" s="258"/>
      <c r="E4" s="258"/>
      <c r="F4" s="258"/>
      <c r="G4" s="258"/>
      <c r="H4" s="258"/>
      <c r="I4" s="258"/>
    </row>
    <row r="5" ht="19.5" customHeight="1">
      <c r="A5" s="7"/>
      <c r="B5" t="s" s="57">
        <v>844</v>
      </c>
      <c r="C5" s="467"/>
      <c r="D5" s="467"/>
      <c r="E5" s="467"/>
      <c r="F5" s="467"/>
      <c r="G5" s="467"/>
      <c r="H5" s="467"/>
      <c r="I5" s="467"/>
    </row>
    <row r="6" ht="19.5" customHeight="1">
      <c r="A6" s="7"/>
      <c r="B6" t="s" s="57">
        <v>845</v>
      </c>
      <c r="C6" s="467"/>
      <c r="D6" s="467"/>
      <c r="E6" s="467"/>
      <c r="F6" s="467"/>
      <c r="G6" s="467"/>
      <c r="H6" s="467"/>
      <c r="I6" s="467"/>
    </row>
    <row r="7" ht="19.5" customHeight="1">
      <c r="A7" s="7"/>
      <c r="B7" t="s" s="57">
        <v>846</v>
      </c>
      <c r="C7" s="467"/>
      <c r="D7" s="467"/>
      <c r="E7" s="467"/>
      <c r="F7" s="467"/>
      <c r="G7" s="467"/>
      <c r="H7" s="467"/>
      <c r="I7" s="467"/>
    </row>
    <row r="8" ht="19.5" customHeight="1">
      <c r="A8" s="7"/>
      <c r="B8" t="s" s="57">
        <v>847</v>
      </c>
      <c r="C8" s="467"/>
      <c r="D8" s="467"/>
      <c r="E8" s="467"/>
      <c r="F8" s="467"/>
      <c r="G8" s="467"/>
      <c r="H8" s="467"/>
      <c r="I8" s="467"/>
    </row>
    <row r="9" ht="19.5" customHeight="1">
      <c r="A9" s="7"/>
      <c r="B9" t="s" s="57">
        <v>848</v>
      </c>
      <c r="C9" s="467"/>
      <c r="D9" s="467"/>
      <c r="E9" s="467"/>
      <c r="F9" s="467"/>
      <c r="G9" s="467"/>
      <c r="H9" s="467"/>
      <c r="I9" s="467"/>
    </row>
    <row r="10" ht="13.5" customHeight="1">
      <c r="A10" s="12"/>
      <c r="B10" s="300"/>
      <c r="C10" s="300"/>
      <c r="D10" s="300"/>
      <c r="E10" s="300"/>
      <c r="F10" s="300"/>
      <c r="G10" s="300"/>
      <c r="H10" s="300"/>
      <c r="I10" s="301"/>
    </row>
    <row r="11" ht="24" customHeight="1">
      <c r="A11" s="7"/>
      <c r="B11" t="s" s="468">
        <v>849</v>
      </c>
      <c r="C11" s="469"/>
      <c r="D11" s="469"/>
      <c r="E11" s="469"/>
      <c r="F11" s="469"/>
      <c r="G11" s="469"/>
      <c r="H11" s="469"/>
      <c r="I11" s="469"/>
    </row>
    <row r="12" ht="13.5" customHeight="1">
      <c r="A12" s="7"/>
      <c r="B12" t="s" s="488">
        <v>591</v>
      </c>
      <c r="C12" t="s" s="488">
        <v>209</v>
      </c>
      <c r="D12" t="s" s="488">
        <v>210</v>
      </c>
      <c r="E12" t="s" s="488">
        <v>716</v>
      </c>
      <c r="F12" t="s" s="488">
        <v>717</v>
      </c>
      <c r="G12" t="s" s="488">
        <v>363</v>
      </c>
      <c r="H12" t="s" s="488">
        <v>718</v>
      </c>
      <c r="I12" t="s" s="488">
        <v>215</v>
      </c>
    </row>
    <row r="13" ht="18" customHeight="1">
      <c r="A13" s="7"/>
      <c r="B13" t="s" s="268">
        <v>850</v>
      </c>
      <c r="C13" t="s" s="268">
        <v>851</v>
      </c>
      <c r="D13" t="s" s="268">
        <v>852</v>
      </c>
      <c r="E13" t="s" s="268">
        <v>853</v>
      </c>
      <c r="F13" t="s" s="268">
        <v>854</v>
      </c>
      <c r="G13" t="s" s="489">
        <v>855</v>
      </c>
      <c r="H13" t="s" s="489">
        <v>856</v>
      </c>
      <c r="I13" t="s" s="268">
        <v>726</v>
      </c>
    </row>
    <row r="14" ht="19.5" customHeight="1">
      <c r="A14" s="7"/>
      <c r="B14" t="s" s="57">
        <v>857</v>
      </c>
      <c r="C14" s="467"/>
      <c r="D14" s="467"/>
      <c r="E14" s="467"/>
      <c r="F14" s="467"/>
      <c r="G14" s="467"/>
      <c r="H14" s="467"/>
      <c r="I14" s="467"/>
    </row>
    <row r="15" ht="31.5" customHeight="1">
      <c r="A15" s="7"/>
      <c r="B15" t="s" s="470">
        <v>858</v>
      </c>
      <c r="C15" s="471"/>
      <c r="D15" t="s" s="472">
        <v>859</v>
      </c>
      <c r="E15" s="473"/>
      <c r="F15" t="s" s="474">
        <v>860</v>
      </c>
      <c r="G15" s="475"/>
      <c r="H15" s="476"/>
      <c r="I15" s="476"/>
    </row>
    <row r="16" ht="13.5" customHeight="1">
      <c r="A16" s="7"/>
      <c r="B16" t="s" s="477">
        <v>861</v>
      </c>
      <c r="C16" s="478"/>
      <c r="D16" s="478"/>
      <c r="E16" s="478"/>
      <c r="F16" s="478"/>
      <c r="G16" s="478"/>
      <c r="H16" s="478"/>
      <c r="I16" s="478"/>
    </row>
    <row r="17" ht="18" customHeight="1">
      <c r="A17" s="7"/>
      <c r="B17" t="s" s="479">
        <v>862</v>
      </c>
      <c r="C17" s="480"/>
      <c r="D17" s="480"/>
      <c r="E17" s="480"/>
      <c r="F17" s="480"/>
      <c r="G17" s="480"/>
      <c r="H17" s="480"/>
      <c r="I17" s="480"/>
    </row>
    <row r="18" ht="18" customHeight="1">
      <c r="A18" s="7"/>
      <c r="B18" t="s" s="479">
        <v>863</v>
      </c>
      <c r="C18" s="480"/>
      <c r="D18" s="480"/>
      <c r="E18" s="480"/>
      <c r="F18" s="480"/>
      <c r="G18" s="480"/>
      <c r="H18" s="480"/>
      <c r="I18" s="480"/>
    </row>
    <row r="19" ht="18" customHeight="1">
      <c r="A19" s="7"/>
      <c r="B19" t="s" s="479">
        <v>864</v>
      </c>
      <c r="C19" s="480"/>
      <c r="D19" s="480"/>
      <c r="E19" s="480"/>
      <c r="F19" s="480"/>
      <c r="G19" s="480"/>
      <c r="H19" s="480"/>
      <c r="I19" s="480"/>
    </row>
    <row r="20" ht="18" customHeight="1">
      <c r="A20" s="7"/>
      <c r="B20" t="s" s="479">
        <v>865</v>
      </c>
      <c r="C20" s="480"/>
      <c r="D20" s="480"/>
      <c r="E20" s="480"/>
      <c r="F20" s="480"/>
      <c r="G20" s="480"/>
      <c r="H20" s="480"/>
      <c r="I20" s="480"/>
    </row>
    <row r="21" ht="18" customHeight="1">
      <c r="A21" s="7"/>
      <c r="B21" t="s" s="479">
        <v>866</v>
      </c>
      <c r="C21" s="480"/>
      <c r="D21" s="480"/>
      <c r="E21" s="480"/>
      <c r="F21" s="480"/>
      <c r="G21" s="480"/>
      <c r="H21" s="480"/>
      <c r="I21" s="480"/>
    </row>
    <row r="22" ht="18" customHeight="1">
      <c r="A22" s="7"/>
      <c r="B22" t="s" s="479">
        <v>867</v>
      </c>
      <c r="C22" s="480"/>
      <c r="D22" s="480"/>
      <c r="E22" s="480"/>
      <c r="F22" s="480"/>
      <c r="G22" s="480"/>
      <c r="H22" s="480"/>
      <c r="I22" s="480"/>
    </row>
    <row r="23" ht="18" customHeight="1">
      <c r="A23" s="7"/>
      <c r="B23" t="s" s="479">
        <v>868</v>
      </c>
      <c r="C23" s="480"/>
      <c r="D23" s="480"/>
      <c r="E23" s="480"/>
      <c r="F23" s="480"/>
      <c r="G23" s="480"/>
      <c r="H23" s="480"/>
      <c r="I23" s="480"/>
    </row>
    <row r="24" ht="13.5" customHeight="1">
      <c r="A24" s="7"/>
      <c r="B24" t="s" s="481">
        <v>739</v>
      </c>
      <c r="C24" s="482"/>
      <c r="D24" s="482"/>
      <c r="E24" s="482"/>
      <c r="F24" s="482"/>
      <c r="G24" s="482"/>
      <c r="H24" s="482"/>
      <c r="I24" s="482"/>
    </row>
    <row r="25" ht="18" customHeight="1">
      <c r="A25" s="7"/>
      <c r="B25" t="s" s="481">
        <v>869</v>
      </c>
      <c r="C25" s="482"/>
      <c r="D25" s="482"/>
      <c r="E25" s="482"/>
      <c r="F25" s="482"/>
      <c r="G25" s="482"/>
      <c r="H25" s="482"/>
      <c r="I25" s="482"/>
    </row>
    <row r="26" ht="18" customHeight="1">
      <c r="A26" s="7"/>
      <c r="B26" t="s" s="481">
        <v>870</v>
      </c>
      <c r="C26" s="482"/>
      <c r="D26" s="482"/>
      <c r="E26" s="482"/>
      <c r="F26" s="482"/>
      <c r="G26" s="482"/>
      <c r="H26" s="482"/>
      <c r="I26" s="482"/>
    </row>
    <row r="27" ht="18" customHeight="1">
      <c r="A27" s="7"/>
      <c r="B27" t="s" s="481">
        <v>871</v>
      </c>
      <c r="C27" s="482"/>
      <c r="D27" s="482"/>
      <c r="E27" s="482"/>
      <c r="F27" s="482"/>
      <c r="G27" s="482"/>
      <c r="H27" s="482"/>
      <c r="I27" s="482"/>
    </row>
    <row r="28" ht="18" customHeight="1">
      <c r="A28" s="7"/>
      <c r="B28" t="s" s="481">
        <v>872</v>
      </c>
      <c r="C28" s="482"/>
      <c r="D28" s="482"/>
      <c r="E28" s="482"/>
      <c r="F28" s="482"/>
      <c r="G28" s="482"/>
      <c r="H28" s="482"/>
      <c r="I28" s="482"/>
    </row>
    <row r="29" ht="18" customHeight="1">
      <c r="A29" s="7"/>
      <c r="B29" t="s" s="481">
        <v>873</v>
      </c>
      <c r="C29" s="482"/>
      <c r="D29" s="482"/>
      <c r="E29" s="482"/>
      <c r="F29" s="482"/>
      <c r="G29" s="482"/>
      <c r="H29" s="482"/>
      <c r="I29" s="482"/>
    </row>
    <row r="30" ht="13.5" customHeight="1">
      <c r="A30" s="7"/>
      <c r="B30" t="s" s="490">
        <v>746</v>
      </c>
      <c r="C30" s="491"/>
      <c r="D30" s="491"/>
      <c r="E30" s="491"/>
      <c r="F30" s="491"/>
      <c r="G30" s="491"/>
      <c r="H30" s="491"/>
      <c r="I30" s="491"/>
    </row>
    <row r="31" ht="18" customHeight="1">
      <c r="A31" s="7"/>
      <c r="B31" t="s" s="490">
        <v>874</v>
      </c>
      <c r="C31" s="491"/>
      <c r="D31" s="491"/>
      <c r="E31" s="491"/>
      <c r="F31" s="491"/>
      <c r="G31" s="491"/>
      <c r="H31" s="491"/>
      <c r="I31" s="491"/>
    </row>
    <row r="32" ht="18" customHeight="1">
      <c r="A32" s="7"/>
      <c r="B32" t="s" s="490">
        <v>875</v>
      </c>
      <c r="C32" s="491"/>
      <c r="D32" s="491"/>
      <c r="E32" s="491"/>
      <c r="F32" s="491"/>
      <c r="G32" s="491"/>
      <c r="H32" s="491"/>
      <c r="I32" s="491"/>
    </row>
    <row r="33" ht="18" customHeight="1">
      <c r="A33" s="7"/>
      <c r="B33" t="s" s="490">
        <v>876</v>
      </c>
      <c r="C33" s="491"/>
      <c r="D33" s="491"/>
      <c r="E33" s="491"/>
      <c r="F33" s="491"/>
      <c r="G33" s="491"/>
      <c r="H33" s="491"/>
      <c r="I33" s="491"/>
    </row>
    <row r="34" ht="18" customHeight="1">
      <c r="A34" s="7"/>
      <c r="B34" t="s" s="490">
        <v>877</v>
      </c>
      <c r="C34" s="491"/>
      <c r="D34" s="491"/>
      <c r="E34" s="491"/>
      <c r="F34" s="491"/>
      <c r="G34" s="491"/>
      <c r="H34" s="491"/>
      <c r="I34" s="491"/>
    </row>
    <row r="35" ht="18" customHeight="1">
      <c r="A35" s="7"/>
      <c r="B35" t="s" s="490">
        <v>878</v>
      </c>
      <c r="C35" s="491"/>
      <c r="D35" s="491"/>
      <c r="E35" s="491"/>
      <c r="F35" s="491"/>
      <c r="G35" s="491"/>
      <c r="H35" s="491"/>
      <c r="I35" s="491"/>
    </row>
    <row r="36" ht="18" customHeight="1">
      <c r="A36" s="291"/>
      <c r="B36" t="s" s="490">
        <v>879</v>
      </c>
      <c r="C36" s="491"/>
      <c r="D36" s="491"/>
      <c r="E36" s="491"/>
      <c r="F36" s="491"/>
      <c r="G36" s="491"/>
      <c r="H36" s="491"/>
      <c r="I36" s="491"/>
    </row>
  </sheetData>
  <mergeCells count="35">
    <mergeCell ref="B1:I1"/>
    <mergeCell ref="B2:I2"/>
    <mergeCell ref="B4:I4"/>
    <mergeCell ref="B5:I5"/>
    <mergeCell ref="B6:I6"/>
    <mergeCell ref="B7:I7"/>
    <mergeCell ref="B8:I8"/>
    <mergeCell ref="B9:I9"/>
    <mergeCell ref="B11:I11"/>
    <mergeCell ref="B14:I14"/>
    <mergeCell ref="B15:C15"/>
    <mergeCell ref="D15:E15"/>
    <mergeCell ref="F15:G15"/>
    <mergeCell ref="H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B34:I34"/>
    <mergeCell ref="B35:I35"/>
    <mergeCell ref="B36:I36"/>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H10"/>
  <sheetViews>
    <sheetView workbookViewId="0" showGridLines="0" defaultGridColor="1"/>
  </sheetViews>
  <sheetFormatPr defaultColWidth="8.66667" defaultRowHeight="15" customHeight="1" outlineLevelRow="0" outlineLevelCol="0"/>
  <cols>
    <col min="1" max="1" width="8.67188" style="496" customWidth="1"/>
    <col min="2" max="2" width="12" style="496" customWidth="1"/>
    <col min="3" max="3" width="18" style="496" customWidth="1"/>
    <col min="4" max="4" width="60" style="496" customWidth="1"/>
    <col min="5" max="5" width="20" style="496" customWidth="1"/>
    <col min="6" max="6" width="16" style="496" customWidth="1"/>
    <col min="7" max="7" width="30" style="496" customWidth="1"/>
    <col min="8" max="8" width="8.67188" style="496" customWidth="1"/>
    <col min="9" max="16384" width="8.67188" style="496" customWidth="1"/>
  </cols>
  <sheetData>
    <row r="1" ht="19.5" customHeight="1">
      <c r="A1" s="98"/>
      <c r="B1" t="s" s="497">
        <v>880</v>
      </c>
      <c r="C1" s="498"/>
      <c r="D1" s="498"/>
      <c r="E1" s="498"/>
      <c r="F1" s="498"/>
      <c r="G1" s="498"/>
      <c r="H1" s="499"/>
    </row>
    <row r="2" ht="13.55" customHeight="1">
      <c r="A2" s="105"/>
      <c r="B2" s="161"/>
      <c r="C2" s="161"/>
      <c r="D2" s="161"/>
      <c r="E2" s="161"/>
      <c r="F2" s="161"/>
      <c r="G2" s="161"/>
      <c r="H2" s="366"/>
    </row>
    <row r="3" ht="19.5" customHeight="1">
      <c r="A3" s="162"/>
      <c r="B3" t="s" s="163">
        <v>881</v>
      </c>
      <c r="C3" t="s" s="163">
        <v>882</v>
      </c>
      <c r="D3" t="s" s="163">
        <v>883</v>
      </c>
      <c r="E3" t="s" s="163">
        <v>884</v>
      </c>
      <c r="F3" t="s" s="163">
        <v>885</v>
      </c>
      <c r="G3" t="s" s="163">
        <v>886</v>
      </c>
      <c r="H3" s="500"/>
    </row>
    <row r="4" ht="39.75" customHeight="1">
      <c r="A4" s="162"/>
      <c r="B4" t="s" s="501">
        <v>887</v>
      </c>
      <c r="C4" t="s" s="501">
        <v>888</v>
      </c>
      <c r="D4" t="s" s="502">
        <v>889</v>
      </c>
      <c r="E4" t="s" s="501">
        <v>890</v>
      </c>
      <c r="F4" t="s" s="501">
        <v>891</v>
      </c>
      <c r="G4" t="s" s="503">
        <v>892</v>
      </c>
      <c r="H4" s="500"/>
    </row>
    <row r="5" ht="39.75" customHeight="1">
      <c r="A5" s="162"/>
      <c r="B5" t="s" s="504">
        <v>893</v>
      </c>
      <c r="C5" t="s" s="504">
        <v>894</v>
      </c>
      <c r="D5" t="s" s="505">
        <v>895</v>
      </c>
      <c r="E5" t="s" s="504">
        <v>896</v>
      </c>
      <c r="F5" t="s" s="504">
        <v>897</v>
      </c>
      <c r="G5" t="s" s="506">
        <v>898</v>
      </c>
      <c r="H5" s="500"/>
    </row>
    <row r="6" ht="39.75" customHeight="1">
      <c r="A6" s="162"/>
      <c r="B6" t="s" s="501">
        <v>899</v>
      </c>
      <c r="C6" t="s" s="501">
        <v>900</v>
      </c>
      <c r="D6" t="s" s="502">
        <v>901</v>
      </c>
      <c r="E6" t="s" s="501">
        <v>902</v>
      </c>
      <c r="F6" t="s" s="501">
        <v>903</v>
      </c>
      <c r="G6" t="s" s="503">
        <v>904</v>
      </c>
      <c r="H6" s="500"/>
    </row>
    <row r="7" ht="36" customHeight="1">
      <c r="A7" s="162"/>
      <c r="B7" t="s" s="507">
        <v>905</v>
      </c>
      <c r="C7" s="508"/>
      <c r="D7" s="508"/>
      <c r="E7" s="508"/>
      <c r="F7" s="508"/>
      <c r="G7" s="508"/>
      <c r="H7" s="500"/>
    </row>
    <row r="8" ht="36" customHeight="1">
      <c r="A8" s="162"/>
      <c r="B8" t="s" s="507">
        <v>905</v>
      </c>
      <c r="C8" s="508"/>
      <c r="D8" s="508"/>
      <c r="E8" s="508"/>
      <c r="F8" s="508"/>
      <c r="G8" s="508"/>
      <c r="H8" s="500"/>
    </row>
    <row r="9" ht="36" customHeight="1">
      <c r="A9" s="162"/>
      <c r="B9" t="s" s="507">
        <v>905</v>
      </c>
      <c r="C9" s="508"/>
      <c r="D9" s="508"/>
      <c r="E9" s="508"/>
      <c r="F9" s="508"/>
      <c r="G9" s="508"/>
      <c r="H9" s="500"/>
    </row>
    <row r="10" ht="13.55" customHeight="1">
      <c r="A10" s="105"/>
      <c r="B10" s="509"/>
      <c r="C10" s="509"/>
      <c r="D10" s="509"/>
      <c r="E10" s="509"/>
      <c r="F10" s="509"/>
      <c r="G10" s="509"/>
      <c r="H10" s="105"/>
    </row>
  </sheetData>
  <mergeCells count="1">
    <mergeCell ref="B1:H1"/>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